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d7158deefffa32/_WORK/2022-004-CEPAL-Bioeconomia_LATAM/documentos/reportes/01 Revision Informe Final/"/>
    </mc:Choice>
  </mc:AlternateContent>
  <xr:revisionPtr revIDLastSave="2" documentId="13_ncr:1_{1C8AD994-367A-44CB-B381-C9F757FDC39C}" xr6:coauthVersionLast="47" xr6:coauthVersionMax="47" xr10:uidLastSave="{AC9F9E8F-6C91-4A94-A653-1F14C820EAA1}"/>
  <bookViews>
    <workbookView xWindow="-120" yWindow="-120" windowWidth="29040" windowHeight="15720" firstSheet="14" activeTab="21" xr2:uid="{93523E5A-298B-4E86-9D2E-1FE099579B75}"/>
  </bookViews>
  <sheets>
    <sheet name="Contenido" sheetId="28" r:id="rId1"/>
    <sheet name="ARG" sheetId="3" r:id="rId2"/>
    <sheet name="BRA" sheetId="1" r:id="rId3"/>
    <sheet name="CHL" sheetId="4" r:id="rId4"/>
    <sheet name="COL" sheetId="2" r:id="rId5"/>
    <sheet name="CRI" sheetId="5" r:id="rId6"/>
    <sheet name="DOM" sheetId="6" r:id="rId7"/>
    <sheet name="ECU" sheetId="7" r:id="rId8"/>
    <sheet name="GTM" sheetId="8" r:id="rId9"/>
    <sheet name="HND" sheetId="9" r:id="rId10"/>
    <sheet name="NIC" sheetId="10" r:id="rId11"/>
    <sheet name="PAN" sheetId="11" r:id="rId12"/>
    <sheet name="PER" sheetId="12" r:id="rId13"/>
    <sheet name="SLV" sheetId="13" r:id="rId14"/>
    <sheet name="Figura 3a" sheetId="14" r:id="rId15"/>
    <sheet name="Figura 3b" sheetId="22" r:id="rId16"/>
    <sheet name="Figura 3c" sheetId="24" r:id="rId17"/>
    <sheet name="Figura 4" sheetId="27" r:id="rId18"/>
    <sheet name="Figura 5a" sheetId="21" r:id="rId19"/>
    <sheet name="Figura 5b" sheetId="23" r:id="rId20"/>
    <sheet name="Figura 5c" sheetId="25" r:id="rId21"/>
    <sheet name="Figura 6 y 7" sheetId="29" r:id="rId22"/>
    <sheet name="FBK" sheetId="26" r:id="rId23"/>
  </sheets>
  <definedNames>
    <definedName name="_xlnm.Print_Area" localSheetId="1">ARG!$A$1:$R$25</definedName>
  </definedNames>
  <calcPr calcId="191029"/>
  <pivotCaches>
    <pivotCache cacheId="0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9" l="1"/>
  <c r="G9" i="29"/>
  <c r="F9" i="29"/>
  <c r="E9" i="29"/>
  <c r="D9" i="29"/>
  <c r="C9" i="29"/>
  <c r="I9" i="29"/>
  <c r="F8" i="29"/>
  <c r="E8" i="29"/>
  <c r="D8" i="29"/>
  <c r="C8" i="29"/>
  <c r="I8" i="29"/>
  <c r="H8" i="29"/>
  <c r="G8" i="29"/>
  <c r="D7" i="29"/>
  <c r="C7" i="29"/>
  <c r="I7" i="29"/>
  <c r="H7" i="29"/>
  <c r="G7" i="29"/>
  <c r="F7" i="29"/>
  <c r="E7" i="29"/>
  <c r="I6" i="29"/>
  <c r="H6" i="29"/>
  <c r="G6" i="29"/>
  <c r="F6" i="29"/>
  <c r="E6" i="29"/>
  <c r="D6" i="29"/>
  <c r="C6" i="29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P14" i="26"/>
  <c r="O14" i="26"/>
  <c r="N14" i="26"/>
  <c r="M14" i="26"/>
  <c r="L14" i="26"/>
  <c r="K14" i="26"/>
  <c r="J14" i="26"/>
  <c r="I14" i="26"/>
  <c r="H14" i="26"/>
  <c r="G14" i="26"/>
  <c r="F14" i="26"/>
  <c r="E14" i="26"/>
  <c r="D14" i="26"/>
  <c r="C14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P14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K17" i="11"/>
  <c r="K18" i="11"/>
  <c r="K19" i="11"/>
  <c r="D34" i="2"/>
  <c r="I33" i="2"/>
  <c r="L16" i="13"/>
  <c r="L34" i="13" s="1"/>
  <c r="E7" i="22" s="1"/>
  <c r="L16" i="11"/>
  <c r="L34" i="11" s="1"/>
  <c r="F7" i="22" s="1"/>
  <c r="L16" i="10"/>
  <c r="L34" i="10" s="1"/>
  <c r="D7" i="22" s="1"/>
  <c r="L16" i="9"/>
  <c r="L34" i="9" s="1"/>
  <c r="C7" i="22" s="1"/>
  <c r="L15" i="8"/>
  <c r="L33" i="8" s="1"/>
  <c r="G7" i="22" s="1"/>
  <c r="L15" i="7"/>
  <c r="L34" i="7" s="1"/>
  <c r="M8" i="22" s="1"/>
  <c r="L16" i="6"/>
  <c r="L35" i="6" s="1"/>
  <c r="K7" i="22" s="1"/>
  <c r="L17" i="3"/>
  <c r="L40" i="3" s="1"/>
  <c r="O8" i="22" s="1"/>
  <c r="R16" i="11"/>
  <c r="Q16" i="11"/>
  <c r="P16" i="11"/>
  <c r="O16" i="11"/>
  <c r="N16" i="11"/>
  <c r="M16" i="11"/>
  <c r="J16" i="11"/>
  <c r="J34" i="11" s="1"/>
  <c r="I16" i="11"/>
  <c r="I33" i="11" s="1"/>
  <c r="H16" i="11"/>
  <c r="H35" i="11" s="1"/>
  <c r="G16" i="11"/>
  <c r="G34" i="11" s="1"/>
  <c r="F16" i="11"/>
  <c r="F34" i="11" s="1"/>
  <c r="E16" i="11"/>
  <c r="E34" i="11" s="1"/>
  <c r="D16" i="11"/>
  <c r="D35" i="11" s="1"/>
  <c r="K13" i="11"/>
  <c r="M8" i="27" s="1"/>
  <c r="K12" i="11"/>
  <c r="M7" i="27" s="1"/>
  <c r="K29" i="11"/>
  <c r="K26" i="11"/>
  <c r="Q41" i="13"/>
  <c r="G8" i="26" s="1"/>
  <c r="P41" i="13"/>
  <c r="F8" i="25" s="1"/>
  <c r="L41" i="13"/>
  <c r="F8" i="23" s="1"/>
  <c r="J41" i="13"/>
  <c r="I41" i="13"/>
  <c r="H41" i="13"/>
  <c r="G41" i="13"/>
  <c r="F41" i="13"/>
  <c r="E41" i="13"/>
  <c r="Q40" i="13"/>
  <c r="G7" i="26" s="1"/>
  <c r="P40" i="13"/>
  <c r="F7" i="25" s="1"/>
  <c r="L40" i="13"/>
  <c r="F7" i="23" s="1"/>
  <c r="J40" i="13"/>
  <c r="I40" i="13"/>
  <c r="H40" i="13"/>
  <c r="G40" i="13"/>
  <c r="F40" i="13"/>
  <c r="E40" i="13"/>
  <c r="Q39" i="13"/>
  <c r="G6" i="26" s="1"/>
  <c r="P39" i="13"/>
  <c r="F6" i="25" s="1"/>
  <c r="L39" i="13"/>
  <c r="F6" i="23" s="1"/>
  <c r="J39" i="13"/>
  <c r="I39" i="13"/>
  <c r="H39" i="13"/>
  <c r="G39" i="13"/>
  <c r="F39" i="13"/>
  <c r="E39" i="13"/>
  <c r="N35" i="13"/>
  <c r="C8" i="24" s="1"/>
  <c r="J35" i="13"/>
  <c r="I35" i="13"/>
  <c r="H35" i="13"/>
  <c r="G35" i="13"/>
  <c r="F35" i="13"/>
  <c r="E35" i="13"/>
  <c r="N34" i="13"/>
  <c r="C7" i="24" s="1"/>
  <c r="J34" i="13"/>
  <c r="I34" i="13"/>
  <c r="H34" i="13"/>
  <c r="G34" i="13"/>
  <c r="F34" i="13"/>
  <c r="E34" i="13"/>
  <c r="N33" i="13"/>
  <c r="C6" i="24" s="1"/>
  <c r="J33" i="13"/>
  <c r="I33" i="13"/>
  <c r="H33" i="13"/>
  <c r="G33" i="13"/>
  <c r="F33" i="13"/>
  <c r="E33" i="13"/>
  <c r="D41" i="13"/>
  <c r="D40" i="13"/>
  <c r="D39" i="13"/>
  <c r="D35" i="13"/>
  <c r="D34" i="13"/>
  <c r="D33" i="13"/>
  <c r="Q38" i="12"/>
  <c r="F8" i="26" s="1"/>
  <c r="P38" i="12"/>
  <c r="I8" i="25" s="1"/>
  <c r="M38" i="12"/>
  <c r="O8" i="23" s="1"/>
  <c r="K38" i="12"/>
  <c r="J38" i="12"/>
  <c r="I38" i="12"/>
  <c r="H38" i="12"/>
  <c r="G38" i="12"/>
  <c r="F38" i="12"/>
  <c r="E38" i="12"/>
  <c r="Q37" i="12"/>
  <c r="F7" i="26" s="1"/>
  <c r="P37" i="12"/>
  <c r="I7" i="25" s="1"/>
  <c r="M37" i="12"/>
  <c r="O7" i="23" s="1"/>
  <c r="K37" i="12"/>
  <c r="J37" i="12"/>
  <c r="I37" i="12"/>
  <c r="H37" i="12"/>
  <c r="G37" i="12"/>
  <c r="F37" i="12"/>
  <c r="E37" i="12"/>
  <c r="Q36" i="12"/>
  <c r="F6" i="26" s="1"/>
  <c r="P36" i="12"/>
  <c r="I6" i="25" s="1"/>
  <c r="M36" i="12"/>
  <c r="O6" i="23" s="1"/>
  <c r="K36" i="12"/>
  <c r="J36" i="12"/>
  <c r="I36" i="12"/>
  <c r="H36" i="12"/>
  <c r="G36" i="12"/>
  <c r="F36" i="12"/>
  <c r="E36" i="12"/>
  <c r="N34" i="12"/>
  <c r="G8" i="24" s="1"/>
  <c r="M34" i="12"/>
  <c r="J8" i="22" s="1"/>
  <c r="N33" i="12"/>
  <c r="G7" i="24" s="1"/>
  <c r="M33" i="12"/>
  <c r="J7" i="22" s="1"/>
  <c r="N32" i="12"/>
  <c r="G6" i="24" s="1"/>
  <c r="M32" i="12"/>
  <c r="J6" i="22" s="1"/>
  <c r="D34" i="12"/>
  <c r="D33" i="12"/>
  <c r="D32" i="12"/>
  <c r="Q41" i="11"/>
  <c r="L8" i="26" s="1"/>
  <c r="P41" i="11"/>
  <c r="J8" i="25" s="1"/>
  <c r="L41" i="11"/>
  <c r="I8" i="23" s="1"/>
  <c r="J41" i="11"/>
  <c r="I41" i="11"/>
  <c r="H41" i="11"/>
  <c r="G41" i="11"/>
  <c r="F41" i="11"/>
  <c r="E41" i="11"/>
  <c r="Q40" i="11"/>
  <c r="L7" i="26" s="1"/>
  <c r="P40" i="11"/>
  <c r="J7" i="25" s="1"/>
  <c r="L40" i="11"/>
  <c r="I7" i="23" s="1"/>
  <c r="J40" i="11"/>
  <c r="I40" i="11"/>
  <c r="H40" i="11"/>
  <c r="G40" i="11"/>
  <c r="F40" i="11"/>
  <c r="E40" i="11"/>
  <c r="Q39" i="11"/>
  <c r="L6" i="26" s="1"/>
  <c r="P39" i="11"/>
  <c r="J6" i="25" s="1"/>
  <c r="L39" i="11"/>
  <c r="I6" i="23" s="1"/>
  <c r="J39" i="11"/>
  <c r="I39" i="11"/>
  <c r="H39" i="11"/>
  <c r="G39" i="11"/>
  <c r="F39" i="11"/>
  <c r="E39" i="11"/>
  <c r="N35" i="11"/>
  <c r="K8" i="24" s="1"/>
  <c r="I35" i="11"/>
  <c r="G35" i="11"/>
  <c r="N34" i="11"/>
  <c r="K7" i="24" s="1"/>
  <c r="N33" i="11"/>
  <c r="K6" i="24" s="1"/>
  <c r="D41" i="11"/>
  <c r="D40" i="11"/>
  <c r="D39" i="11"/>
  <c r="D34" i="11"/>
  <c r="E33" i="10"/>
  <c r="F33" i="10"/>
  <c r="G33" i="10"/>
  <c r="H33" i="10"/>
  <c r="I33" i="10"/>
  <c r="J33" i="10"/>
  <c r="N33" i="10"/>
  <c r="E6" i="24" s="1"/>
  <c r="E34" i="10"/>
  <c r="F34" i="10"/>
  <c r="G34" i="10"/>
  <c r="H34" i="10"/>
  <c r="I34" i="10"/>
  <c r="J34" i="10"/>
  <c r="N34" i="10"/>
  <c r="E7" i="24" s="1"/>
  <c r="E35" i="10"/>
  <c r="F35" i="10"/>
  <c r="G35" i="10"/>
  <c r="H35" i="10"/>
  <c r="I35" i="10"/>
  <c r="J35" i="10"/>
  <c r="N35" i="10"/>
  <c r="E8" i="24" s="1"/>
  <c r="E39" i="10"/>
  <c r="F39" i="10"/>
  <c r="G39" i="10"/>
  <c r="H39" i="10"/>
  <c r="I39" i="10"/>
  <c r="J39" i="10"/>
  <c r="L39" i="10"/>
  <c r="D6" i="23" s="1"/>
  <c r="P39" i="10"/>
  <c r="E6" i="25" s="1"/>
  <c r="Q39" i="10"/>
  <c r="C6" i="26" s="1"/>
  <c r="E40" i="10"/>
  <c r="F40" i="10"/>
  <c r="G40" i="10"/>
  <c r="H40" i="10"/>
  <c r="I40" i="10"/>
  <c r="J40" i="10"/>
  <c r="L40" i="10"/>
  <c r="D7" i="23" s="1"/>
  <c r="P40" i="10"/>
  <c r="E7" i="25" s="1"/>
  <c r="Q40" i="10"/>
  <c r="C7" i="26" s="1"/>
  <c r="E41" i="10"/>
  <c r="F41" i="10"/>
  <c r="G41" i="10"/>
  <c r="H41" i="10"/>
  <c r="I41" i="10"/>
  <c r="J41" i="10"/>
  <c r="L41" i="10"/>
  <c r="D8" i="23" s="1"/>
  <c r="P41" i="10"/>
  <c r="E8" i="25" s="1"/>
  <c r="Q41" i="10"/>
  <c r="C8" i="26" s="1"/>
  <c r="D41" i="10"/>
  <c r="D40" i="10"/>
  <c r="D39" i="10"/>
  <c r="D35" i="10"/>
  <c r="D34" i="10"/>
  <c r="D33" i="10"/>
  <c r="Q41" i="9"/>
  <c r="D8" i="26" s="1"/>
  <c r="P41" i="9"/>
  <c r="C8" i="25" s="1"/>
  <c r="L41" i="9"/>
  <c r="C8" i="23" s="1"/>
  <c r="J41" i="9"/>
  <c r="I41" i="9"/>
  <c r="H41" i="9"/>
  <c r="G41" i="9"/>
  <c r="F41" i="9"/>
  <c r="E41" i="9"/>
  <c r="Q40" i="9"/>
  <c r="D7" i="26" s="1"/>
  <c r="P40" i="9"/>
  <c r="C7" i="25" s="1"/>
  <c r="L40" i="9"/>
  <c r="C7" i="23" s="1"/>
  <c r="J40" i="9"/>
  <c r="I40" i="9"/>
  <c r="H40" i="9"/>
  <c r="G40" i="9"/>
  <c r="F40" i="9"/>
  <c r="E40" i="9"/>
  <c r="Q39" i="9"/>
  <c r="D6" i="26" s="1"/>
  <c r="P39" i="9"/>
  <c r="C6" i="25" s="1"/>
  <c r="L39" i="9"/>
  <c r="C6" i="23" s="1"/>
  <c r="J39" i="9"/>
  <c r="I39" i="9"/>
  <c r="H39" i="9"/>
  <c r="G39" i="9"/>
  <c r="F39" i="9"/>
  <c r="E39" i="9"/>
  <c r="N35" i="9"/>
  <c r="H8" i="24" s="1"/>
  <c r="J35" i="9"/>
  <c r="I35" i="9"/>
  <c r="H35" i="9"/>
  <c r="G35" i="9"/>
  <c r="F35" i="9"/>
  <c r="E35" i="9"/>
  <c r="N34" i="9"/>
  <c r="H7" i="24" s="1"/>
  <c r="J34" i="9"/>
  <c r="I34" i="9"/>
  <c r="H34" i="9"/>
  <c r="G34" i="9"/>
  <c r="F34" i="9"/>
  <c r="E34" i="9"/>
  <c r="N33" i="9"/>
  <c r="H6" i="24" s="1"/>
  <c r="J33" i="9"/>
  <c r="I33" i="9"/>
  <c r="H33" i="9"/>
  <c r="G33" i="9"/>
  <c r="F33" i="9"/>
  <c r="E33" i="9"/>
  <c r="D41" i="9"/>
  <c r="D40" i="9"/>
  <c r="D39" i="9"/>
  <c r="D35" i="9"/>
  <c r="D34" i="9"/>
  <c r="D33" i="9"/>
  <c r="Q39" i="8"/>
  <c r="J8" i="26" s="1"/>
  <c r="P39" i="8"/>
  <c r="D8" i="25" s="1"/>
  <c r="L39" i="8"/>
  <c r="E8" i="23" s="1"/>
  <c r="J39" i="8"/>
  <c r="I39" i="8"/>
  <c r="H39" i="8"/>
  <c r="G39" i="8"/>
  <c r="F39" i="8"/>
  <c r="E39" i="8"/>
  <c r="Q38" i="8"/>
  <c r="J7" i="26" s="1"/>
  <c r="P38" i="8"/>
  <c r="D7" i="25" s="1"/>
  <c r="L38" i="8"/>
  <c r="E7" i="23" s="1"/>
  <c r="J38" i="8"/>
  <c r="I38" i="8"/>
  <c r="H38" i="8"/>
  <c r="G38" i="8"/>
  <c r="F38" i="8"/>
  <c r="E38" i="8"/>
  <c r="Q37" i="8"/>
  <c r="J6" i="26" s="1"/>
  <c r="P37" i="8"/>
  <c r="D6" i="25" s="1"/>
  <c r="L37" i="8"/>
  <c r="E6" i="23" s="1"/>
  <c r="J37" i="8"/>
  <c r="I37" i="8"/>
  <c r="H37" i="8"/>
  <c r="G37" i="8"/>
  <c r="F37" i="8"/>
  <c r="E37" i="8"/>
  <c r="N34" i="8"/>
  <c r="F8" i="24" s="1"/>
  <c r="L34" i="8"/>
  <c r="G8" i="22" s="1"/>
  <c r="J34" i="8"/>
  <c r="I34" i="8"/>
  <c r="H34" i="8"/>
  <c r="G34" i="8"/>
  <c r="F34" i="8"/>
  <c r="E34" i="8"/>
  <c r="N33" i="8"/>
  <c r="F7" i="24" s="1"/>
  <c r="J33" i="8"/>
  <c r="I33" i="8"/>
  <c r="H33" i="8"/>
  <c r="G33" i="8"/>
  <c r="F33" i="8"/>
  <c r="E33" i="8"/>
  <c r="N32" i="8"/>
  <c r="F6" i="24" s="1"/>
  <c r="L32" i="8"/>
  <c r="G6" i="22" s="1"/>
  <c r="J32" i="8"/>
  <c r="I32" i="8"/>
  <c r="H32" i="8"/>
  <c r="G32" i="8"/>
  <c r="F32" i="8"/>
  <c r="E32" i="8"/>
  <c r="D39" i="8"/>
  <c r="D38" i="8"/>
  <c r="D37" i="8"/>
  <c r="D34" i="8"/>
  <c r="D33" i="8"/>
  <c r="D32" i="8"/>
  <c r="Q39" i="7"/>
  <c r="E8" i="26" s="1"/>
  <c r="P39" i="7"/>
  <c r="L8" i="25" s="1"/>
  <c r="L39" i="7"/>
  <c r="H8" i="23" s="1"/>
  <c r="J39" i="7"/>
  <c r="I39" i="7"/>
  <c r="H39" i="7"/>
  <c r="G39" i="7"/>
  <c r="F39" i="7"/>
  <c r="E39" i="7"/>
  <c r="Q38" i="7"/>
  <c r="E7" i="26" s="1"/>
  <c r="P38" i="7"/>
  <c r="L7" i="25" s="1"/>
  <c r="L38" i="7"/>
  <c r="H7" i="23" s="1"/>
  <c r="J38" i="7"/>
  <c r="I38" i="7"/>
  <c r="H38" i="7"/>
  <c r="G38" i="7"/>
  <c r="F38" i="7"/>
  <c r="E38" i="7"/>
  <c r="Q37" i="7"/>
  <c r="E6" i="26" s="1"/>
  <c r="P37" i="7"/>
  <c r="L6" i="25" s="1"/>
  <c r="L37" i="7"/>
  <c r="H6" i="23" s="1"/>
  <c r="J37" i="7"/>
  <c r="I37" i="7"/>
  <c r="H37" i="7"/>
  <c r="G37" i="7"/>
  <c r="F37" i="7"/>
  <c r="E37" i="7"/>
  <c r="N34" i="7"/>
  <c r="O8" i="24" s="1"/>
  <c r="J34" i="7"/>
  <c r="I34" i="7"/>
  <c r="H34" i="7"/>
  <c r="G34" i="7"/>
  <c r="F34" i="7"/>
  <c r="E34" i="7"/>
  <c r="N33" i="7"/>
  <c r="O7" i="24" s="1"/>
  <c r="L33" i="7"/>
  <c r="M7" i="22" s="1"/>
  <c r="J33" i="7"/>
  <c r="I33" i="7"/>
  <c r="H33" i="7"/>
  <c r="G33" i="7"/>
  <c r="F33" i="7"/>
  <c r="E33" i="7"/>
  <c r="N32" i="7"/>
  <c r="O6" i="24" s="1"/>
  <c r="J32" i="7"/>
  <c r="I32" i="7"/>
  <c r="H32" i="7"/>
  <c r="G32" i="7"/>
  <c r="F32" i="7"/>
  <c r="E32" i="7"/>
  <c r="D39" i="7"/>
  <c r="D38" i="7"/>
  <c r="D37" i="7"/>
  <c r="D34" i="7"/>
  <c r="D33" i="7"/>
  <c r="D32" i="7"/>
  <c r="Q42" i="6"/>
  <c r="M8" i="26" s="1"/>
  <c r="P42" i="6"/>
  <c r="G8" i="25" s="1"/>
  <c r="L42" i="6"/>
  <c r="J8" i="23" s="1"/>
  <c r="J42" i="6"/>
  <c r="I42" i="6"/>
  <c r="H42" i="6"/>
  <c r="G42" i="6"/>
  <c r="F42" i="6"/>
  <c r="E42" i="6"/>
  <c r="Q41" i="6"/>
  <c r="M7" i="26" s="1"/>
  <c r="P41" i="6"/>
  <c r="G7" i="25" s="1"/>
  <c r="L41" i="6"/>
  <c r="J7" i="23" s="1"/>
  <c r="J41" i="6"/>
  <c r="I41" i="6"/>
  <c r="H41" i="6"/>
  <c r="G41" i="6"/>
  <c r="F41" i="6"/>
  <c r="E41" i="6"/>
  <c r="Q40" i="6"/>
  <c r="M6" i="26" s="1"/>
  <c r="P40" i="6"/>
  <c r="G6" i="25" s="1"/>
  <c r="L40" i="6"/>
  <c r="J6" i="23" s="1"/>
  <c r="J40" i="6"/>
  <c r="I40" i="6"/>
  <c r="H40" i="6"/>
  <c r="G40" i="6"/>
  <c r="F40" i="6"/>
  <c r="E40" i="6"/>
  <c r="N36" i="6"/>
  <c r="D8" i="24" s="1"/>
  <c r="J36" i="6"/>
  <c r="I36" i="6"/>
  <c r="H36" i="6"/>
  <c r="G36" i="6"/>
  <c r="F36" i="6"/>
  <c r="E36" i="6"/>
  <c r="N35" i="6"/>
  <c r="D7" i="24" s="1"/>
  <c r="J35" i="6"/>
  <c r="I35" i="6"/>
  <c r="H35" i="6"/>
  <c r="G35" i="6"/>
  <c r="F35" i="6"/>
  <c r="E35" i="6"/>
  <c r="N34" i="6"/>
  <c r="D6" i="24" s="1"/>
  <c r="J34" i="6"/>
  <c r="I34" i="6"/>
  <c r="H34" i="6"/>
  <c r="G34" i="6"/>
  <c r="F34" i="6"/>
  <c r="E34" i="6"/>
  <c r="D42" i="6"/>
  <c r="D41" i="6"/>
  <c r="D36" i="6"/>
  <c r="D35" i="6"/>
  <c r="D40" i="6"/>
  <c r="D34" i="6"/>
  <c r="S39" i="5"/>
  <c r="H8" i="26" s="1"/>
  <c r="R39" i="5"/>
  <c r="Q39" i="5"/>
  <c r="P39" i="5"/>
  <c r="H8" i="25" s="1"/>
  <c r="L39" i="5"/>
  <c r="L8" i="23" s="1"/>
  <c r="J39" i="5"/>
  <c r="I39" i="5"/>
  <c r="H39" i="5"/>
  <c r="G39" i="5"/>
  <c r="F39" i="5"/>
  <c r="E39" i="5"/>
  <c r="S38" i="5"/>
  <c r="H7" i="26" s="1"/>
  <c r="R38" i="5"/>
  <c r="Q38" i="5"/>
  <c r="P38" i="5"/>
  <c r="H7" i="25" s="1"/>
  <c r="L38" i="5"/>
  <c r="L7" i="23" s="1"/>
  <c r="J38" i="5"/>
  <c r="I38" i="5"/>
  <c r="H38" i="5"/>
  <c r="G38" i="5"/>
  <c r="F38" i="5"/>
  <c r="E38" i="5"/>
  <c r="S37" i="5"/>
  <c r="H6" i="26" s="1"/>
  <c r="R37" i="5"/>
  <c r="Q37" i="5"/>
  <c r="P37" i="5"/>
  <c r="H6" i="25" s="1"/>
  <c r="L37" i="5"/>
  <c r="L6" i="23" s="1"/>
  <c r="J37" i="5"/>
  <c r="I37" i="5"/>
  <c r="H37" i="5"/>
  <c r="G37" i="5"/>
  <c r="F37" i="5"/>
  <c r="E37" i="5"/>
  <c r="M34" i="5"/>
  <c r="M8" i="24" s="1"/>
  <c r="L34" i="5"/>
  <c r="H8" i="22" s="1"/>
  <c r="J34" i="5"/>
  <c r="I34" i="5"/>
  <c r="H34" i="5"/>
  <c r="G34" i="5"/>
  <c r="F34" i="5"/>
  <c r="E34" i="5"/>
  <c r="M33" i="5"/>
  <c r="M7" i="24" s="1"/>
  <c r="L33" i="5"/>
  <c r="H7" i="22" s="1"/>
  <c r="J33" i="5"/>
  <c r="I33" i="5"/>
  <c r="H33" i="5"/>
  <c r="G33" i="5"/>
  <c r="F33" i="5"/>
  <c r="E33" i="5"/>
  <c r="M32" i="5"/>
  <c r="M6" i="24" s="1"/>
  <c r="L32" i="5"/>
  <c r="H6" i="22" s="1"/>
  <c r="J32" i="5"/>
  <c r="I32" i="5"/>
  <c r="H32" i="5"/>
  <c r="G32" i="5"/>
  <c r="F32" i="5"/>
  <c r="E32" i="5"/>
  <c r="D39" i="5"/>
  <c r="D38" i="5"/>
  <c r="D34" i="5"/>
  <c r="D33" i="5"/>
  <c r="D37" i="5"/>
  <c r="D32" i="5"/>
  <c r="E39" i="2"/>
  <c r="F39" i="2"/>
  <c r="G39" i="2"/>
  <c r="H39" i="2"/>
  <c r="I39" i="2"/>
  <c r="J39" i="2"/>
  <c r="L39" i="2"/>
  <c r="N6" i="23" s="1"/>
  <c r="P39" i="2"/>
  <c r="K6" i="25" s="1"/>
  <c r="Q39" i="2"/>
  <c r="I6" i="26" s="1"/>
  <c r="E40" i="2"/>
  <c r="F40" i="2"/>
  <c r="G40" i="2"/>
  <c r="H40" i="2"/>
  <c r="I40" i="2"/>
  <c r="J40" i="2"/>
  <c r="L40" i="2"/>
  <c r="N7" i="23" s="1"/>
  <c r="P40" i="2"/>
  <c r="K7" i="25" s="1"/>
  <c r="Q40" i="2"/>
  <c r="I7" i="26" s="1"/>
  <c r="E41" i="2"/>
  <c r="F41" i="2"/>
  <c r="G41" i="2"/>
  <c r="H41" i="2"/>
  <c r="I41" i="2"/>
  <c r="J41" i="2"/>
  <c r="L41" i="2"/>
  <c r="N8" i="23" s="1"/>
  <c r="P41" i="2"/>
  <c r="K8" i="25" s="1"/>
  <c r="Q41" i="2"/>
  <c r="I8" i="26" s="1"/>
  <c r="N33" i="2"/>
  <c r="N6" i="24" s="1"/>
  <c r="N34" i="2"/>
  <c r="N7" i="24" s="1"/>
  <c r="N35" i="2"/>
  <c r="N8" i="24" s="1"/>
  <c r="E33" i="2"/>
  <c r="F33" i="2"/>
  <c r="G33" i="2"/>
  <c r="H33" i="2"/>
  <c r="J33" i="2"/>
  <c r="L33" i="2"/>
  <c r="I6" i="22" s="1"/>
  <c r="E34" i="2"/>
  <c r="F34" i="2"/>
  <c r="G34" i="2"/>
  <c r="H34" i="2"/>
  <c r="I34" i="2"/>
  <c r="J34" i="2"/>
  <c r="L34" i="2"/>
  <c r="I7" i="22" s="1"/>
  <c r="E35" i="2"/>
  <c r="F35" i="2"/>
  <c r="G35" i="2"/>
  <c r="H35" i="2"/>
  <c r="I35" i="2"/>
  <c r="J35" i="2"/>
  <c r="L35" i="2"/>
  <c r="I8" i="22" s="1"/>
  <c r="D41" i="2"/>
  <c r="D40" i="2"/>
  <c r="D35" i="2"/>
  <c r="D39" i="2"/>
  <c r="D33" i="2"/>
  <c r="Q35" i="4"/>
  <c r="K8" i="26" s="1"/>
  <c r="P35" i="4"/>
  <c r="M8" i="25" s="1"/>
  <c r="M35" i="4"/>
  <c r="M8" i="23" s="1"/>
  <c r="K35" i="4"/>
  <c r="J35" i="4"/>
  <c r="I35" i="4"/>
  <c r="H35" i="4"/>
  <c r="G35" i="4"/>
  <c r="F35" i="4"/>
  <c r="E35" i="4"/>
  <c r="Q34" i="4"/>
  <c r="K7" i="26" s="1"/>
  <c r="P34" i="4"/>
  <c r="M7" i="25" s="1"/>
  <c r="M34" i="4"/>
  <c r="M7" i="23" s="1"/>
  <c r="K34" i="4"/>
  <c r="J34" i="4"/>
  <c r="I34" i="4"/>
  <c r="H34" i="4"/>
  <c r="G34" i="4"/>
  <c r="F34" i="4"/>
  <c r="E34" i="4"/>
  <c r="Q33" i="4"/>
  <c r="K6" i="26" s="1"/>
  <c r="P33" i="4"/>
  <c r="M6" i="25" s="1"/>
  <c r="M33" i="4"/>
  <c r="M6" i="23" s="1"/>
  <c r="K33" i="4"/>
  <c r="J33" i="4"/>
  <c r="I33" i="4"/>
  <c r="H33" i="4"/>
  <c r="G33" i="4"/>
  <c r="F33" i="4"/>
  <c r="N31" i="4"/>
  <c r="I8" i="24" s="1"/>
  <c r="M31" i="4"/>
  <c r="N8" i="22" s="1"/>
  <c r="K31" i="4"/>
  <c r="J31" i="4"/>
  <c r="I31" i="4"/>
  <c r="H31" i="4"/>
  <c r="G31" i="4"/>
  <c r="F31" i="4"/>
  <c r="E31" i="4"/>
  <c r="N30" i="4"/>
  <c r="I7" i="24" s="1"/>
  <c r="M30" i="4"/>
  <c r="N7" i="22" s="1"/>
  <c r="K30" i="4"/>
  <c r="J30" i="4"/>
  <c r="I30" i="4"/>
  <c r="H30" i="4"/>
  <c r="G30" i="4"/>
  <c r="F30" i="4"/>
  <c r="E30" i="4"/>
  <c r="N29" i="4"/>
  <c r="I6" i="24" s="1"/>
  <c r="M29" i="4"/>
  <c r="N6" i="22" s="1"/>
  <c r="K29" i="4"/>
  <c r="J29" i="4"/>
  <c r="I29" i="4"/>
  <c r="H29" i="4"/>
  <c r="G29" i="4"/>
  <c r="F29" i="4"/>
  <c r="E33" i="4"/>
  <c r="E29" i="4"/>
  <c r="P47" i="3"/>
  <c r="O8" i="25" s="1"/>
  <c r="P46" i="3"/>
  <c r="O7" i="25" s="1"/>
  <c r="P45" i="3"/>
  <c r="O6" i="25" s="1"/>
  <c r="O35" i="1"/>
  <c r="N8" i="25" s="1"/>
  <c r="L35" i="1"/>
  <c r="K8" i="23" s="1"/>
  <c r="J35" i="1"/>
  <c r="I35" i="1"/>
  <c r="H35" i="1"/>
  <c r="G35" i="1"/>
  <c r="F35" i="1"/>
  <c r="E35" i="1"/>
  <c r="D35" i="1"/>
  <c r="O34" i="1"/>
  <c r="N7" i="25" s="1"/>
  <c r="L34" i="1"/>
  <c r="K7" i="23" s="1"/>
  <c r="J34" i="1"/>
  <c r="I34" i="1"/>
  <c r="H34" i="1"/>
  <c r="G34" i="1"/>
  <c r="F34" i="1"/>
  <c r="E34" i="1"/>
  <c r="D34" i="1"/>
  <c r="O33" i="1"/>
  <c r="N6" i="25" s="1"/>
  <c r="L33" i="1"/>
  <c r="K6" i="23" s="1"/>
  <c r="J33" i="1"/>
  <c r="I33" i="1"/>
  <c r="H33" i="1"/>
  <c r="G33" i="1"/>
  <c r="F33" i="1"/>
  <c r="E33" i="1"/>
  <c r="D33" i="1"/>
  <c r="M31" i="1"/>
  <c r="L8" i="24" s="1"/>
  <c r="L31" i="1"/>
  <c r="L8" i="22" s="1"/>
  <c r="J31" i="1"/>
  <c r="I31" i="1"/>
  <c r="H31" i="1"/>
  <c r="G31" i="1"/>
  <c r="F31" i="1"/>
  <c r="E31" i="1"/>
  <c r="D31" i="1"/>
  <c r="M30" i="1"/>
  <c r="L7" i="24" s="1"/>
  <c r="L30" i="1"/>
  <c r="L7" i="22" s="1"/>
  <c r="J30" i="1"/>
  <c r="I30" i="1"/>
  <c r="H30" i="1"/>
  <c r="G30" i="1"/>
  <c r="F30" i="1"/>
  <c r="E30" i="1"/>
  <c r="D30" i="1"/>
  <c r="M29" i="1"/>
  <c r="L6" i="24" s="1"/>
  <c r="L29" i="1"/>
  <c r="L6" i="22" s="1"/>
  <c r="J29" i="1"/>
  <c r="I29" i="1"/>
  <c r="H29" i="1"/>
  <c r="G29" i="1"/>
  <c r="F29" i="1"/>
  <c r="E29" i="1"/>
  <c r="D29" i="1"/>
  <c r="E45" i="3"/>
  <c r="F45" i="3"/>
  <c r="G45" i="3"/>
  <c r="H45" i="3"/>
  <c r="I45" i="3"/>
  <c r="J45" i="3"/>
  <c r="L45" i="3"/>
  <c r="G6" i="23" s="1"/>
  <c r="E46" i="3"/>
  <c r="F46" i="3"/>
  <c r="G46" i="3"/>
  <c r="H46" i="3"/>
  <c r="I46" i="3"/>
  <c r="J46" i="3"/>
  <c r="L46" i="3"/>
  <c r="G7" i="23" s="1"/>
  <c r="E47" i="3"/>
  <c r="F47" i="3"/>
  <c r="G47" i="3"/>
  <c r="H47" i="3"/>
  <c r="I47" i="3"/>
  <c r="J47" i="3"/>
  <c r="L47" i="3"/>
  <c r="G8" i="23" s="1"/>
  <c r="D46" i="3"/>
  <c r="D47" i="3"/>
  <c r="D45" i="3"/>
  <c r="N40" i="3"/>
  <c r="J8" i="24" s="1"/>
  <c r="J40" i="3"/>
  <c r="I40" i="3"/>
  <c r="H40" i="3"/>
  <c r="G40" i="3"/>
  <c r="F40" i="3"/>
  <c r="E40" i="3"/>
  <c r="D40" i="3"/>
  <c r="N39" i="3"/>
  <c r="J7" i="24" s="1"/>
  <c r="J39" i="3"/>
  <c r="I39" i="3"/>
  <c r="H39" i="3"/>
  <c r="G39" i="3"/>
  <c r="F39" i="3"/>
  <c r="E39" i="3"/>
  <c r="D39" i="3"/>
  <c r="N38" i="3"/>
  <c r="J6" i="24" s="1"/>
  <c r="J38" i="3"/>
  <c r="I38" i="3"/>
  <c r="H38" i="3"/>
  <c r="G38" i="3"/>
  <c r="F38" i="3"/>
  <c r="E38" i="3"/>
  <c r="D38" i="3"/>
  <c r="K23" i="13"/>
  <c r="K22" i="13"/>
  <c r="K21" i="13"/>
  <c r="K20" i="13"/>
  <c r="K19" i="13"/>
  <c r="K41" i="13" s="1"/>
  <c r="G8" i="21" s="1"/>
  <c r="K18" i="13"/>
  <c r="K40" i="13" s="1"/>
  <c r="G7" i="21" s="1"/>
  <c r="K17" i="13"/>
  <c r="K39" i="13" s="1"/>
  <c r="G6" i="21" s="1"/>
  <c r="K16" i="13"/>
  <c r="K15" i="13"/>
  <c r="K14" i="13"/>
  <c r="K13" i="13"/>
  <c r="F8" i="27" s="1"/>
  <c r="K12" i="13"/>
  <c r="L22" i="12"/>
  <c r="L21" i="12"/>
  <c r="L20" i="12"/>
  <c r="L19" i="12"/>
  <c r="L18" i="12"/>
  <c r="L17" i="12"/>
  <c r="L16" i="12"/>
  <c r="L15" i="12"/>
  <c r="L14" i="12"/>
  <c r="L13" i="12"/>
  <c r="H8" i="27" s="1"/>
  <c r="L12" i="12"/>
  <c r="H7" i="27" s="1"/>
  <c r="K23" i="11"/>
  <c r="K22" i="11"/>
  <c r="K40" i="11" s="1"/>
  <c r="N7" i="21" s="1"/>
  <c r="K21" i="11"/>
  <c r="K20" i="11"/>
  <c r="K15" i="11"/>
  <c r="K14" i="11"/>
  <c r="K23" i="10"/>
  <c r="K22" i="10"/>
  <c r="K21" i="10"/>
  <c r="K20" i="10"/>
  <c r="K19" i="10"/>
  <c r="K18" i="10"/>
  <c r="K17" i="10"/>
  <c r="K16" i="10"/>
  <c r="K15" i="10"/>
  <c r="K14" i="10"/>
  <c r="K13" i="10"/>
  <c r="K8" i="27" s="1"/>
  <c r="K12" i="10"/>
  <c r="K7" i="27" s="1"/>
  <c r="K23" i="9"/>
  <c r="K22" i="9"/>
  <c r="K21" i="9"/>
  <c r="K20" i="9"/>
  <c r="K19" i="9"/>
  <c r="K18" i="9"/>
  <c r="K17" i="9"/>
  <c r="K16" i="9"/>
  <c r="K15" i="9"/>
  <c r="K14" i="9"/>
  <c r="K13" i="9"/>
  <c r="N8" i="27" s="1"/>
  <c r="K12" i="9"/>
  <c r="K22" i="8"/>
  <c r="K21" i="8"/>
  <c r="K20" i="8"/>
  <c r="K19" i="8"/>
  <c r="K18" i="8"/>
  <c r="K17" i="8"/>
  <c r="K16" i="8"/>
  <c r="K15" i="8"/>
  <c r="K14" i="8"/>
  <c r="K13" i="8"/>
  <c r="L8" i="27" s="1"/>
  <c r="K12" i="8"/>
  <c r="K22" i="7"/>
  <c r="K21" i="7"/>
  <c r="K20" i="7"/>
  <c r="K19" i="7"/>
  <c r="K18" i="7"/>
  <c r="K39" i="7" s="1"/>
  <c r="H8" i="21" s="1"/>
  <c r="K17" i="7"/>
  <c r="K38" i="7" s="1"/>
  <c r="H7" i="21" s="1"/>
  <c r="K16" i="7"/>
  <c r="K37" i="7" s="1"/>
  <c r="H6" i="21" s="1"/>
  <c r="K15" i="7"/>
  <c r="K14" i="7"/>
  <c r="K13" i="7"/>
  <c r="O8" i="27" s="1"/>
  <c r="K12" i="7"/>
  <c r="K24" i="6"/>
  <c r="K23" i="6"/>
  <c r="K22" i="6"/>
  <c r="K21" i="6"/>
  <c r="K20" i="6"/>
  <c r="K19" i="6"/>
  <c r="K18" i="6"/>
  <c r="K17" i="6"/>
  <c r="K16" i="6"/>
  <c r="K15" i="6"/>
  <c r="K14" i="6"/>
  <c r="K13" i="6"/>
  <c r="G8" i="27" s="1"/>
  <c r="K12" i="6"/>
  <c r="K22" i="5"/>
  <c r="K21" i="5"/>
  <c r="K20" i="5"/>
  <c r="K19" i="5"/>
  <c r="K18" i="5"/>
  <c r="K17" i="5"/>
  <c r="K16" i="5"/>
  <c r="K15" i="5"/>
  <c r="K14" i="5"/>
  <c r="K13" i="5"/>
  <c r="J8" i="27" s="1"/>
  <c r="K12" i="5"/>
  <c r="J7" i="27" s="1"/>
  <c r="K23" i="2"/>
  <c r="K22" i="2"/>
  <c r="K21" i="2"/>
  <c r="K20" i="2"/>
  <c r="K19" i="2"/>
  <c r="K18" i="2"/>
  <c r="K17" i="2"/>
  <c r="K16" i="2"/>
  <c r="K15" i="2"/>
  <c r="K14" i="2"/>
  <c r="K13" i="2"/>
  <c r="L19" i="4"/>
  <c r="L18" i="4"/>
  <c r="L17" i="4"/>
  <c r="L16" i="4"/>
  <c r="L15" i="4"/>
  <c r="L14" i="4"/>
  <c r="L13" i="4"/>
  <c r="E8" i="27" s="1"/>
  <c r="L12" i="4"/>
  <c r="E7" i="27" s="1"/>
  <c r="K11" i="13"/>
  <c r="F6" i="27" s="1"/>
  <c r="L11" i="12"/>
  <c r="K11" i="11"/>
  <c r="M6" i="27" s="1"/>
  <c r="K11" i="10"/>
  <c r="K11" i="9"/>
  <c r="N6" i="27" s="1"/>
  <c r="K11" i="8"/>
  <c r="L6" i="27" s="1"/>
  <c r="K11" i="7"/>
  <c r="O6" i="27" s="1"/>
  <c r="K11" i="6"/>
  <c r="K11" i="5"/>
  <c r="J6" i="27" s="1"/>
  <c r="K11" i="2"/>
  <c r="I6" i="27" s="1"/>
  <c r="L11" i="4"/>
  <c r="E6" i="27" s="1"/>
  <c r="K19" i="1"/>
  <c r="K18" i="1"/>
  <c r="K17" i="1"/>
  <c r="K16" i="1"/>
  <c r="K15" i="1"/>
  <c r="K33" i="1" s="1"/>
  <c r="K6" i="21" s="1"/>
  <c r="K14" i="1"/>
  <c r="K13" i="1"/>
  <c r="D8" i="27" s="1"/>
  <c r="K12" i="1"/>
  <c r="D7" i="27" s="1"/>
  <c r="K11" i="1"/>
  <c r="D6" i="27" s="1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C8" i="27" s="1"/>
  <c r="K12" i="3"/>
  <c r="C7" i="27" s="1"/>
  <c r="K11" i="3"/>
  <c r="K35" i="1" l="1"/>
  <c r="K8" i="21" s="1"/>
  <c r="K34" i="5"/>
  <c r="F8" i="14" s="1"/>
  <c r="K39" i="5"/>
  <c r="J8" i="21" s="1"/>
  <c r="K34" i="13"/>
  <c r="I7" i="14" s="1"/>
  <c r="L31" i="4"/>
  <c r="O8" i="14" s="1"/>
  <c r="K33" i="7"/>
  <c r="H7" i="14" s="1"/>
  <c r="K38" i="8"/>
  <c r="F7" i="21" s="1"/>
  <c r="K39" i="8"/>
  <c r="F8" i="21" s="1"/>
  <c r="K39" i="10"/>
  <c r="D6" i="21" s="1"/>
  <c r="H34" i="11"/>
  <c r="K33" i="9"/>
  <c r="C6" i="14" s="1"/>
  <c r="I34" i="11"/>
  <c r="L38" i="12"/>
  <c r="I8" i="21" s="1"/>
  <c r="L33" i="9"/>
  <c r="C6" i="22" s="1"/>
  <c r="L35" i="9"/>
  <c r="C8" i="22" s="1"/>
  <c r="K42" i="6"/>
  <c r="E8" i="21" s="1"/>
  <c r="E35" i="11"/>
  <c r="K33" i="8"/>
  <c r="E7" i="14" s="1"/>
  <c r="F35" i="11"/>
  <c r="K33" i="10"/>
  <c r="D6" i="14" s="1"/>
  <c r="K40" i="2"/>
  <c r="L7" i="21" s="1"/>
  <c r="G33" i="11"/>
  <c r="E33" i="11"/>
  <c r="K39" i="2"/>
  <c r="L6" i="21" s="1"/>
  <c r="F33" i="11"/>
  <c r="L32" i="12"/>
  <c r="L6" i="14" s="1"/>
  <c r="K41" i="2"/>
  <c r="L8" i="21" s="1"/>
  <c r="H33" i="11"/>
  <c r="L32" i="7"/>
  <c r="M6" i="22" s="1"/>
  <c r="K40" i="6"/>
  <c r="E6" i="21" s="1"/>
  <c r="K41" i="6"/>
  <c r="E7" i="21" s="1"/>
  <c r="K34" i="6"/>
  <c r="G6" i="14" s="1"/>
  <c r="K35" i="6"/>
  <c r="G7" i="14" s="1"/>
  <c r="K12" i="2"/>
  <c r="I7" i="27" s="1"/>
  <c r="C6" i="27"/>
  <c r="C9" i="27" s="1"/>
  <c r="F9" i="26"/>
  <c r="G9" i="26"/>
  <c r="C9" i="26"/>
  <c r="D9" i="26"/>
  <c r="J9" i="22"/>
  <c r="M9" i="26"/>
  <c r="J9" i="26"/>
  <c r="N9" i="25"/>
  <c r="G9" i="24"/>
  <c r="M9" i="24"/>
  <c r="L9" i="24"/>
  <c r="D9" i="25"/>
  <c r="F9" i="25"/>
  <c r="L35" i="10"/>
  <c r="D8" i="22" s="1"/>
  <c r="L33" i="10"/>
  <c r="D6" i="22" s="1"/>
  <c r="N9" i="22" s="1"/>
  <c r="J33" i="11"/>
  <c r="J35" i="11"/>
  <c r="F9" i="23"/>
  <c r="K9" i="24"/>
  <c r="L33" i="11"/>
  <c r="F6" i="22" s="1"/>
  <c r="L35" i="11"/>
  <c r="F8" i="22" s="1"/>
  <c r="N9" i="24"/>
  <c r="L33" i="13"/>
  <c r="E6" i="22" s="1"/>
  <c r="L35" i="13"/>
  <c r="E8" i="22" s="1"/>
  <c r="P7" i="26"/>
  <c r="L33" i="12"/>
  <c r="L7" i="14" s="1"/>
  <c r="O9" i="24"/>
  <c r="K31" i="1"/>
  <c r="J8" i="14" s="1"/>
  <c r="L29" i="4"/>
  <c r="O6" i="14" s="1"/>
  <c r="K34" i="9"/>
  <c r="C7" i="14" s="1"/>
  <c r="K32" i="8"/>
  <c r="E6" i="14" s="1"/>
  <c r="K38" i="3"/>
  <c r="N6" i="14" s="1"/>
  <c r="K34" i="1"/>
  <c r="K7" i="21" s="1"/>
  <c r="L33" i="4"/>
  <c r="O6" i="21" s="1"/>
  <c r="L34" i="4"/>
  <c r="O7" i="21" s="1"/>
  <c r="K40" i="10"/>
  <c r="D7" i="21" s="1"/>
  <c r="L36" i="12"/>
  <c r="I6" i="21" s="1"/>
  <c r="L35" i="4"/>
  <c r="O8" i="21" s="1"/>
  <c r="K41" i="10"/>
  <c r="D8" i="21" s="1"/>
  <c r="L37" i="12"/>
  <c r="I7" i="21" s="1"/>
  <c r="K16" i="11"/>
  <c r="K35" i="11" s="1"/>
  <c r="M8" i="14" s="1"/>
  <c r="G6" i="27"/>
  <c r="K37" i="5"/>
  <c r="J6" i="21" s="1"/>
  <c r="K40" i="9"/>
  <c r="C7" i="21" s="1"/>
  <c r="K32" i="7"/>
  <c r="H6" i="14" s="1"/>
  <c r="K35" i="2"/>
  <c r="K8" i="14" s="1"/>
  <c r="K38" i="5"/>
  <c r="J7" i="21" s="1"/>
  <c r="K41" i="9"/>
  <c r="C8" i="21" s="1"/>
  <c r="F9" i="24"/>
  <c r="K9" i="26"/>
  <c r="I8" i="27"/>
  <c r="P8" i="27" s="1"/>
  <c r="K39" i="9"/>
  <c r="C6" i="21" s="1"/>
  <c r="K37" i="8"/>
  <c r="F6" i="21" s="1"/>
  <c r="F9" i="21" s="1"/>
  <c r="L9" i="22"/>
  <c r="K9" i="23"/>
  <c r="H9" i="24"/>
  <c r="J9" i="24"/>
  <c r="P7" i="23"/>
  <c r="I9" i="26"/>
  <c r="J9" i="25"/>
  <c r="L9" i="23"/>
  <c r="L9" i="26"/>
  <c r="E9" i="26"/>
  <c r="K9" i="25"/>
  <c r="M9" i="25"/>
  <c r="I9" i="24"/>
  <c r="N9" i="26"/>
  <c r="E9" i="25"/>
  <c r="H9" i="25"/>
  <c r="I9" i="25"/>
  <c r="O9" i="26"/>
  <c r="H9" i="26"/>
  <c r="E9" i="24"/>
  <c r="G9" i="25"/>
  <c r="L39" i="3"/>
  <c r="O7" i="22" s="1"/>
  <c r="P7" i="22" s="1"/>
  <c r="P7" i="25"/>
  <c r="K34" i="2"/>
  <c r="K7" i="14" s="1"/>
  <c r="K35" i="9"/>
  <c r="C8" i="14" s="1"/>
  <c r="K34" i="10"/>
  <c r="D7" i="14" s="1"/>
  <c r="D33" i="11"/>
  <c r="K34" i="8"/>
  <c r="E8" i="14" s="1"/>
  <c r="L9" i="25"/>
  <c r="L34" i="6"/>
  <c r="K6" i="22" s="1"/>
  <c r="H9" i="22" s="1"/>
  <c r="K34" i="7"/>
  <c r="H8" i="14" s="1"/>
  <c r="L34" i="12"/>
  <c r="L8" i="14" s="1"/>
  <c r="K33" i="13"/>
  <c r="I6" i="14" s="1"/>
  <c r="K6" i="27"/>
  <c r="F7" i="27"/>
  <c r="K36" i="6"/>
  <c r="G8" i="14" s="1"/>
  <c r="L36" i="6"/>
  <c r="K8" i="22" s="1"/>
  <c r="K35" i="13"/>
  <c r="I8" i="14" s="1"/>
  <c r="H6" i="27"/>
  <c r="K33" i="5"/>
  <c r="F7" i="14" s="1"/>
  <c r="P7" i="24"/>
  <c r="N7" i="27"/>
  <c r="M9" i="27" s="1"/>
  <c r="L38" i="3"/>
  <c r="O6" i="22" s="1"/>
  <c r="K35" i="10"/>
  <c r="D8" i="14" s="1"/>
  <c r="L7" i="27"/>
  <c r="K30" i="1"/>
  <c r="J7" i="14" s="1"/>
  <c r="L30" i="4"/>
  <c r="O7" i="14" s="1"/>
  <c r="K33" i="2"/>
  <c r="K6" i="14" s="1"/>
  <c r="O7" i="27"/>
  <c r="G7" i="27"/>
  <c r="P8" i="24"/>
  <c r="K29" i="1"/>
  <c r="J6" i="14" s="1"/>
  <c r="K32" i="5"/>
  <c r="F6" i="14" s="1"/>
  <c r="K45" i="3"/>
  <c r="M6" i="21" s="1"/>
  <c r="G9" i="21" s="1"/>
  <c r="K46" i="3"/>
  <c r="M7" i="21" s="1"/>
  <c r="K47" i="3"/>
  <c r="M8" i="21" s="1"/>
  <c r="C9" i="25"/>
  <c r="P8" i="26"/>
  <c r="D9" i="24"/>
  <c r="C9" i="23"/>
  <c r="P6" i="24"/>
  <c r="P6" i="26"/>
  <c r="P8" i="25"/>
  <c r="O9" i="25"/>
  <c r="P6" i="25"/>
  <c r="C9" i="24"/>
  <c r="G9" i="23"/>
  <c r="H9" i="23"/>
  <c r="D9" i="23"/>
  <c r="E9" i="23"/>
  <c r="I9" i="23"/>
  <c r="J9" i="23"/>
  <c r="N9" i="23"/>
  <c r="O9" i="23"/>
  <c r="P8" i="23"/>
  <c r="P6" i="23"/>
  <c r="I9" i="22"/>
  <c r="K41" i="11"/>
  <c r="N8" i="21" s="1"/>
  <c r="K39" i="11"/>
  <c r="N6" i="21" s="1"/>
  <c r="K40" i="3"/>
  <c r="N8" i="14" s="1"/>
  <c r="K39" i="3"/>
  <c r="N7" i="14" s="1"/>
  <c r="C9" i="22" l="1"/>
  <c r="E9" i="22"/>
  <c r="F9" i="22"/>
  <c r="F9" i="14"/>
  <c r="F9" i="27"/>
  <c r="I9" i="21"/>
  <c r="L9" i="21"/>
  <c r="K33" i="11"/>
  <c r="K34" i="11"/>
  <c r="M7" i="14" s="1"/>
  <c r="P7" i="14" s="1"/>
  <c r="K9" i="22"/>
  <c r="O9" i="27"/>
  <c r="N9" i="27"/>
  <c r="L9" i="27"/>
  <c r="J9" i="27"/>
  <c r="G9" i="27"/>
  <c r="E9" i="27"/>
  <c r="D9" i="27"/>
  <c r="O9" i="22"/>
  <c r="M9" i="21"/>
  <c r="J9" i="21"/>
  <c r="H9" i="21"/>
  <c r="E9" i="21"/>
  <c r="P8" i="22"/>
  <c r="M9" i="22"/>
  <c r="E9" i="14"/>
  <c r="J9" i="14"/>
  <c r="H9" i="27"/>
  <c r="I9" i="27"/>
  <c r="K9" i="21"/>
  <c r="D9" i="21"/>
  <c r="O9" i="21"/>
  <c r="N9" i="21"/>
  <c r="D9" i="22"/>
  <c r="G9" i="22"/>
  <c r="L9" i="14"/>
  <c r="I9" i="14"/>
  <c r="D9" i="14"/>
  <c r="P7" i="27"/>
  <c r="P8" i="21"/>
  <c r="C9" i="21"/>
  <c r="K9" i="14"/>
  <c r="P7" i="21"/>
  <c r="P6" i="27"/>
  <c r="C9" i="14"/>
  <c r="P9" i="24"/>
  <c r="P6" i="22"/>
  <c r="P9" i="25"/>
  <c r="G9" i="14"/>
  <c r="P8" i="14"/>
  <c r="N9" i="14"/>
  <c r="K9" i="27"/>
  <c r="P6" i="21"/>
  <c r="P9" i="26"/>
  <c r="H9" i="14"/>
  <c r="P9" i="23"/>
  <c r="M9" i="23"/>
  <c r="M6" i="14"/>
  <c r="M9" i="14" l="1"/>
  <c r="P9" i="22"/>
  <c r="P9" i="27"/>
  <c r="P9" i="21"/>
  <c r="O9" i="14"/>
  <c r="P6" i="14"/>
  <c r="P9" i="14" s="1"/>
</calcChain>
</file>

<file path=xl/sharedStrings.xml><?xml version="1.0" encoding="utf-8"?>
<sst xmlns="http://schemas.openxmlformats.org/spreadsheetml/2006/main" count="1558" uniqueCount="146">
  <si>
    <t>Grand Total</t>
  </si>
  <si>
    <t>Producción / Consumo intermedio</t>
  </si>
  <si>
    <t>Exportaciones / Importaciones</t>
  </si>
  <si>
    <t>Ajuste CIF/FOB</t>
  </si>
  <si>
    <t>Impuestos menos subvenciones sobre los productos</t>
  </si>
  <si>
    <t>Márgenes de distribución</t>
  </si>
  <si>
    <t>Consumo final</t>
  </si>
  <si>
    <t>Formación bruta de capital</t>
  </si>
  <si>
    <t>A</t>
  </si>
  <si>
    <t>B</t>
  </si>
  <si>
    <t>C</t>
  </si>
  <si>
    <t>D - E</t>
  </si>
  <si>
    <t>F</t>
  </si>
  <si>
    <t>G</t>
  </si>
  <si>
    <t>H - S</t>
  </si>
  <si>
    <t>-</t>
  </si>
  <si>
    <t>Cuadro</t>
  </si>
  <si>
    <t>Áreas Transaccionales Filas Descripción</t>
  </si>
  <si>
    <t>Bioeconomía Productos</t>
  </si>
  <si>
    <t>Agricultura</t>
  </si>
  <si>
    <t>Minería</t>
  </si>
  <si>
    <t>Manufacturas</t>
  </si>
  <si>
    <t>Servicios básicos y agua</t>
  </si>
  <si>
    <t>Construcción</t>
  </si>
  <si>
    <t>Comercio</t>
  </si>
  <si>
    <t>Otros servicios</t>
  </si>
  <si>
    <t>Oferta</t>
  </si>
  <si>
    <t>Producción</t>
  </si>
  <si>
    <t>Bioeconomía</t>
  </si>
  <si>
    <t>Bioeconomía extendida</t>
  </si>
  <si>
    <t>No bioeconomía</t>
  </si>
  <si>
    <t>Compras directas en el exterior por residentes</t>
  </si>
  <si>
    <t>Utilización</t>
  </si>
  <si>
    <t>Consumo intermedio</t>
  </si>
  <si>
    <t>Compras directas en el territorio nacional por no residentes</t>
  </si>
  <si>
    <t>Valor Agregado</t>
  </si>
  <si>
    <t>Corrientes</t>
  </si>
  <si>
    <t>Miles de millones de pesos</t>
  </si>
  <si>
    <t>Colombia</t>
  </si>
  <si>
    <t>Brasil</t>
  </si>
  <si>
    <t>1 000 000 R$</t>
  </si>
  <si>
    <t>Precios corrientes</t>
  </si>
  <si>
    <t>Argentina</t>
  </si>
  <si>
    <t>Miles de pesos</t>
  </si>
  <si>
    <t>Chile</t>
  </si>
  <si>
    <t>Costa Rica</t>
  </si>
  <si>
    <t>Millones de colones</t>
  </si>
  <si>
    <t>Producción / Consumo Intermedio</t>
  </si>
  <si>
    <t>Importaciones / Exportaciones</t>
  </si>
  <si>
    <t>Impuestos sobre los productos</t>
  </si>
  <si>
    <t>Subvenciones sobre los productos</t>
  </si>
  <si>
    <t>Gasto de consumo final de los hogares</t>
  </si>
  <si>
    <t>Gasto de consumo final ISFLSH</t>
  </si>
  <si>
    <t>Gasto de consumo final de Gobierno General</t>
  </si>
  <si>
    <t>Formación Bruta de Capital / Variación de Existencias</t>
  </si>
  <si>
    <t>Áreas Transaccionales Filas</t>
  </si>
  <si>
    <t>Ajustes CIF/FOB sobre importaciones Oferta</t>
  </si>
  <si>
    <t>Ajustes CIF/FOB sobre importaciones Utilización</t>
  </si>
  <si>
    <t>Empleo</t>
  </si>
  <si>
    <t>Total</t>
  </si>
  <si>
    <t>Millones de RD$</t>
  </si>
  <si>
    <t>República Dominicana</t>
  </si>
  <si>
    <t>Puestos de trabajo</t>
  </si>
  <si>
    <t>Ecuador</t>
  </si>
  <si>
    <t>Año 2018</t>
  </si>
  <si>
    <t>Bioeconomía P.</t>
  </si>
  <si>
    <t>No Bioeconomía</t>
  </si>
  <si>
    <t>Ajuste CIF/FOB oferta</t>
  </si>
  <si>
    <t>Oferta Total</t>
  </si>
  <si>
    <t>Ajuste CIF/FOB utilización</t>
  </si>
  <si>
    <t>Utilización Total</t>
  </si>
  <si>
    <t>Empleo Total</t>
  </si>
  <si>
    <t>Guatemala</t>
  </si>
  <si>
    <t>Miles de dólares y puestos de trabajo</t>
  </si>
  <si>
    <t>Millones de quetzales</t>
  </si>
  <si>
    <t>Millones de lempiras corrientes</t>
  </si>
  <si>
    <t>Honduras</t>
  </si>
  <si>
    <t>Nicaragua</t>
  </si>
  <si>
    <t>Millones de córdobas</t>
  </si>
  <si>
    <t>Panamá</t>
  </si>
  <si>
    <t>Año 2017</t>
  </si>
  <si>
    <t>Millones de balboas</t>
  </si>
  <si>
    <t>Perú</t>
  </si>
  <si>
    <t>Millones de Nuevos Soles y puestos de trabajo</t>
  </si>
  <si>
    <t>El Salvador</t>
  </si>
  <si>
    <t>Año 2016</t>
  </si>
  <si>
    <t>Millones US$</t>
  </si>
  <si>
    <t>Producción / Consumo intermedio Total</t>
  </si>
  <si>
    <t>Indicadores</t>
  </si>
  <si>
    <t>ARG</t>
  </si>
  <si>
    <t>BRA</t>
  </si>
  <si>
    <t>CHL</t>
  </si>
  <si>
    <t>COL</t>
  </si>
  <si>
    <t>CRI</t>
  </si>
  <si>
    <t>DOM</t>
  </si>
  <si>
    <t>ECU</t>
  </si>
  <si>
    <t>GTM</t>
  </si>
  <si>
    <t>HND</t>
  </si>
  <si>
    <t>NIC</t>
  </si>
  <si>
    <t>PAN</t>
  </si>
  <si>
    <t>PER</t>
  </si>
  <si>
    <t>SLV</t>
  </si>
  <si>
    <t>Promedio</t>
  </si>
  <si>
    <t>PRELIMINAR NO CITAR</t>
  </si>
  <si>
    <t>Gráficos</t>
  </si>
  <si>
    <t>Valor Bruto de Producción</t>
  </si>
  <si>
    <t>Importaciones</t>
  </si>
  <si>
    <t>Consumo Intermedio</t>
  </si>
  <si>
    <t>Exportaciones</t>
  </si>
  <si>
    <t>Impuestos - Subvenciones</t>
  </si>
  <si>
    <t>Tasa Impositiva Implícita</t>
  </si>
  <si>
    <t>Consumo Final</t>
  </si>
  <si>
    <t>Formación Bruta de Capital</t>
  </si>
  <si>
    <t>Consultoría para la Comisión Económica para América Latina y el Caribe</t>
  </si>
  <si>
    <t>Cuenta satélite de bioeconomía para países latinoamericanos</t>
  </si>
  <si>
    <t>Extracto de cuadros preliminares para socialización y consulta</t>
  </si>
  <si>
    <t>NO CITAR</t>
  </si>
  <si>
    <t>Cuadros de oferta y utilización bioeconómica agregados</t>
  </si>
  <si>
    <t>Cuadros de oferta y utilización bioeconómica por producto y actividad económica</t>
  </si>
  <si>
    <t>Renato Vargas (Consultor de CEPAL)</t>
  </si>
  <si>
    <t>Elaborado por:</t>
  </si>
  <si>
    <t>Andrés Mondaini (CEPAL)</t>
  </si>
  <si>
    <t>Contenido</t>
  </si>
  <si>
    <t>Valor Bruto de Producción (Porcentajes)</t>
  </si>
  <si>
    <t>NO CITAR (PRELIMINAR)</t>
  </si>
  <si>
    <t>Importaciones (Porcentajes)</t>
  </si>
  <si>
    <t>Consumo Intermedio (Porcentajes)</t>
  </si>
  <si>
    <t>Exportaciones (Porcentajes)</t>
  </si>
  <si>
    <t>Impuestos menos subvenciones (Porcentajes)</t>
  </si>
  <si>
    <t>Tasa impositiva implícita (Porcentaje del valor bruto de producción que representan los impuestos sobre los productos)</t>
  </si>
  <si>
    <t>Consumo final (Porcentajes)</t>
  </si>
  <si>
    <t>Formación bruta de capital (Porcentajes)</t>
  </si>
  <si>
    <t>Contenido Bioeconómico Regional Promedio en el Consumo Intermedio</t>
  </si>
  <si>
    <t>Servicios básicos</t>
  </si>
  <si>
    <t>Porcentaje del valor agregado según la composición de sus insumos</t>
  </si>
  <si>
    <t>País</t>
  </si>
  <si>
    <t>Concepto</t>
  </si>
  <si>
    <t>Ajuste de valor agregado</t>
  </si>
  <si>
    <t>Fracción</t>
  </si>
  <si>
    <t>Porcentaje</t>
  </si>
  <si>
    <t>Sum of Porcentaje</t>
  </si>
  <si>
    <t>Column Labels</t>
  </si>
  <si>
    <t>Vía consumo intermedio</t>
  </si>
  <si>
    <t>Bioeconomía Total</t>
  </si>
  <si>
    <t>Row Labels</t>
  </si>
  <si>
    <t>Vía catálogo de sectores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</si>
</sst>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\-#,##0\ "/>
    <numFmt numFmtId="165" formatCode="0.0%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2" borderId="2" xfId="0" applyFont="1" applyFill="1" applyBorder="1"/>
    <xf numFmtId="0" fontId="2" fillId="2" borderId="1" xfId="0" applyFont="1" applyFill="1" applyBorder="1"/>
    <xf numFmtId="3" fontId="0" fillId="0" borderId="0" xfId="0" applyNumberFormat="1"/>
    <xf numFmtId="3" fontId="2" fillId="2" borderId="2" xfId="0" applyNumberFormat="1" applyFont="1" applyFill="1" applyBorder="1"/>
    <xf numFmtId="0" fontId="2" fillId="2" borderId="0" xfId="0" applyFont="1" applyFill="1" applyAlignment="1">
      <alignment wrapText="1"/>
    </xf>
    <xf numFmtId="164" fontId="0" fillId="0" borderId="0" xfId="0" applyNumberFormat="1"/>
    <xf numFmtId="164" fontId="2" fillId="2" borderId="2" xfId="0" applyNumberFormat="1" applyFont="1" applyFill="1" applyBorder="1"/>
    <xf numFmtId="0" fontId="0" fillId="0" borderId="0" xfId="0" applyAlignment="1">
      <alignment wrapText="1"/>
    </xf>
    <xf numFmtId="165" fontId="0" fillId="0" borderId="0" xfId="1" applyNumberFormat="1" applyFont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3" fillId="2" borderId="2" xfId="0" applyFont="1" applyFill="1" applyBorder="1"/>
    <xf numFmtId="3" fontId="3" fillId="2" borderId="2" xfId="0" applyNumberFormat="1" applyFont="1" applyFill="1" applyBorder="1"/>
    <xf numFmtId="0" fontId="5" fillId="0" borderId="0" xfId="0" applyFont="1"/>
    <xf numFmtId="165" fontId="0" fillId="0" borderId="0" xfId="1" applyNumberFormat="1" applyFont="1" applyBorder="1"/>
    <xf numFmtId="3" fontId="2" fillId="2" borderId="0" xfId="0" applyNumberFormat="1" applyFont="1" applyFill="1"/>
    <xf numFmtId="0" fontId="2" fillId="0" borderId="0" xfId="0" applyFont="1" applyAlignment="1">
      <alignment wrapText="1"/>
    </xf>
    <xf numFmtId="9" fontId="0" fillId="0" borderId="0" xfId="1" applyFont="1"/>
    <xf numFmtId="0" fontId="6" fillId="0" borderId="0" xfId="0" applyFont="1"/>
    <xf numFmtId="0" fontId="7" fillId="0" borderId="0" xfId="2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 indent="1"/>
    </xf>
    <xf numFmtId="0" fontId="0" fillId="0" borderId="3" xfId="0" applyBorder="1"/>
    <xf numFmtId="0" fontId="2" fillId="0" borderId="3" xfId="0" applyFont="1" applyBorder="1"/>
    <xf numFmtId="2" fontId="0" fillId="0" borderId="3" xfId="1" applyNumberFormat="1" applyFont="1" applyBorder="1"/>
    <xf numFmtId="166" fontId="0" fillId="0" borderId="3" xfId="1" applyNumberFormat="1" applyFont="1" applyBorder="1"/>
    <xf numFmtId="166" fontId="0" fillId="0" borderId="0" xfId="1" applyNumberFormat="1" applyFont="1" applyAlignment="1"/>
    <xf numFmtId="2" fontId="0" fillId="0" borderId="0" xfId="1" applyNumberFormat="1" applyFont="1" applyAlignment="1"/>
    <xf numFmtId="1" fontId="2" fillId="2" borderId="1" xfId="1" applyNumberFormat="1" applyFont="1" applyFill="1" applyBorder="1" applyAlignment="1"/>
    <xf numFmtId="2" fontId="2" fillId="2" borderId="1" xfId="1" applyNumberFormat="1" applyFont="1" applyFill="1" applyBorder="1" applyAlignment="1"/>
    <xf numFmtId="49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'Figura 3a'!$B$12</c:f>
              <c:strCache>
                <c:ptCount val="1"/>
                <c:pt idx="0">
                  <c:v>Bioeconomía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3a'!$C$11:$P$11</c:f>
              <c:strCache>
                <c:ptCount val="14"/>
                <c:pt idx="0">
                  <c:v>HND</c:v>
                </c:pt>
                <c:pt idx="1">
                  <c:v>NIC</c:v>
                </c:pt>
                <c:pt idx="2">
                  <c:v>GTM</c:v>
                </c:pt>
                <c:pt idx="3">
                  <c:v>CRI</c:v>
                </c:pt>
                <c:pt idx="4">
                  <c:v>DOM</c:v>
                </c:pt>
                <c:pt idx="5">
                  <c:v>ECU</c:v>
                </c:pt>
                <c:pt idx="6">
                  <c:v>SLV</c:v>
                </c:pt>
                <c:pt idx="7">
                  <c:v>BRA</c:v>
                </c:pt>
                <c:pt idx="8">
                  <c:v>COL</c:v>
                </c:pt>
                <c:pt idx="9">
                  <c:v>PER</c:v>
                </c:pt>
                <c:pt idx="10">
                  <c:v>PAN</c:v>
                </c:pt>
                <c:pt idx="11">
                  <c:v>ARG</c:v>
                </c:pt>
                <c:pt idx="12">
                  <c:v>CHL</c:v>
                </c:pt>
                <c:pt idx="13">
                  <c:v>Promedio</c:v>
                </c:pt>
              </c:strCache>
            </c:strRef>
          </c:cat>
          <c:val>
            <c:numRef>
              <c:f>'Figura 3a'!$C$12:$P$12</c:f>
              <c:numCache>
                <c:formatCode>0.0</c:formatCode>
                <c:ptCount val="14"/>
                <c:pt idx="0">
                  <c:v>25.13749619591772</c:v>
                </c:pt>
                <c:pt idx="1">
                  <c:v>29.055543039213887</c:v>
                </c:pt>
                <c:pt idx="2">
                  <c:v>21.572207032694301</c:v>
                </c:pt>
                <c:pt idx="3">
                  <c:v>19.482634618194673</c:v>
                </c:pt>
                <c:pt idx="4">
                  <c:v>14.756896875059313</c:v>
                </c:pt>
                <c:pt idx="5">
                  <c:v>20.638744753742387</c:v>
                </c:pt>
                <c:pt idx="6">
                  <c:v>16.906568633878809</c:v>
                </c:pt>
                <c:pt idx="7">
                  <c:v>14.512610730548934</c:v>
                </c:pt>
                <c:pt idx="8">
                  <c:v>11.904183461779278</c:v>
                </c:pt>
                <c:pt idx="9">
                  <c:v>13.756521711116587</c:v>
                </c:pt>
                <c:pt idx="10">
                  <c:v>7.4291802118548915</c:v>
                </c:pt>
                <c:pt idx="11">
                  <c:v>15.961160767454746</c:v>
                </c:pt>
                <c:pt idx="12">
                  <c:v>12.002705502151075</c:v>
                </c:pt>
                <c:pt idx="13">
                  <c:v>17.162804117969742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7-4D38-91BE-979DAE886E75}"/>
            </c:ext>
          </c:extLst>
        </c:ser>
        <c:ser>
          <c:idx val="1"/>
          <c:order val="1"/>
          <c:tx>
            <c:strRef>
              <c:f>'Figura 3a'!$B$13</c:f>
              <c:strCache>
                <c:ptCount val="1"/>
                <c:pt idx="0">
                  <c:v>Bioeconomía extendida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3a'!$C$11:$P$11</c:f>
              <c:strCache>
                <c:ptCount val="14"/>
                <c:pt idx="0">
                  <c:v>HND</c:v>
                </c:pt>
                <c:pt idx="1">
                  <c:v>NIC</c:v>
                </c:pt>
                <c:pt idx="2">
                  <c:v>GTM</c:v>
                </c:pt>
                <c:pt idx="3">
                  <c:v>CRI</c:v>
                </c:pt>
                <c:pt idx="4">
                  <c:v>DOM</c:v>
                </c:pt>
                <c:pt idx="5">
                  <c:v>ECU</c:v>
                </c:pt>
                <c:pt idx="6">
                  <c:v>SLV</c:v>
                </c:pt>
                <c:pt idx="7">
                  <c:v>BRA</c:v>
                </c:pt>
                <c:pt idx="8">
                  <c:v>COL</c:v>
                </c:pt>
                <c:pt idx="9">
                  <c:v>PER</c:v>
                </c:pt>
                <c:pt idx="10">
                  <c:v>PAN</c:v>
                </c:pt>
                <c:pt idx="11">
                  <c:v>ARG</c:v>
                </c:pt>
                <c:pt idx="12">
                  <c:v>CHL</c:v>
                </c:pt>
                <c:pt idx="13">
                  <c:v>Promedio</c:v>
                </c:pt>
              </c:strCache>
            </c:strRef>
          </c:cat>
          <c:val>
            <c:numRef>
              <c:f>'Figura 3a'!$C$13:$P$13</c:f>
              <c:numCache>
                <c:formatCode>0.0</c:formatCode>
                <c:ptCount val="14"/>
                <c:pt idx="0">
                  <c:v>20.434422256423552</c:v>
                </c:pt>
                <c:pt idx="1">
                  <c:v>10.406536681640381</c:v>
                </c:pt>
                <c:pt idx="2">
                  <c:v>9.8319599406740306</c:v>
                </c:pt>
                <c:pt idx="3">
                  <c:v>11.327527641739261</c:v>
                </c:pt>
                <c:pt idx="4">
                  <c:v>15.379991897380659</c:v>
                </c:pt>
                <c:pt idx="5">
                  <c:v>9.4171284336483563</c:v>
                </c:pt>
                <c:pt idx="6">
                  <c:v>13.026243851713911</c:v>
                </c:pt>
                <c:pt idx="7">
                  <c:v>8.1199432806467264</c:v>
                </c:pt>
                <c:pt idx="8">
                  <c:v>10.675488128247816</c:v>
                </c:pt>
                <c:pt idx="9">
                  <c:v>8.7276965131094641</c:v>
                </c:pt>
                <c:pt idx="10">
                  <c:v>6.3954004000082572</c:v>
                </c:pt>
                <c:pt idx="11">
                  <c:v>4.6237817170051514</c:v>
                </c:pt>
                <c:pt idx="12">
                  <c:v>6.4522798989110894</c:v>
                </c:pt>
                <c:pt idx="13">
                  <c:v>10.370646203165283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7-4D38-91BE-979DAE886E75}"/>
            </c:ext>
          </c:extLst>
        </c:ser>
        <c:ser>
          <c:idx val="2"/>
          <c:order val="2"/>
          <c:tx>
            <c:strRef>
              <c:f>'Figura 3a'!$B$14</c:f>
              <c:strCache>
                <c:ptCount val="1"/>
                <c:pt idx="0">
                  <c:v>No bioeconomía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3a'!$C$11:$P$11</c:f>
              <c:strCache>
                <c:ptCount val="14"/>
                <c:pt idx="0">
                  <c:v>HND</c:v>
                </c:pt>
                <c:pt idx="1">
                  <c:v>NIC</c:v>
                </c:pt>
                <c:pt idx="2">
                  <c:v>GTM</c:v>
                </c:pt>
                <c:pt idx="3">
                  <c:v>CRI</c:v>
                </c:pt>
                <c:pt idx="4">
                  <c:v>DOM</c:v>
                </c:pt>
                <c:pt idx="5">
                  <c:v>ECU</c:v>
                </c:pt>
                <c:pt idx="6">
                  <c:v>SLV</c:v>
                </c:pt>
                <c:pt idx="7">
                  <c:v>BRA</c:v>
                </c:pt>
                <c:pt idx="8">
                  <c:v>COL</c:v>
                </c:pt>
                <c:pt idx="9">
                  <c:v>PER</c:v>
                </c:pt>
                <c:pt idx="10">
                  <c:v>PAN</c:v>
                </c:pt>
                <c:pt idx="11">
                  <c:v>ARG</c:v>
                </c:pt>
                <c:pt idx="12">
                  <c:v>CHL</c:v>
                </c:pt>
                <c:pt idx="13">
                  <c:v>Promedio</c:v>
                </c:pt>
              </c:strCache>
            </c:strRef>
          </c:cat>
          <c:val>
            <c:numRef>
              <c:f>'Figura 3a'!$C$14:$P$14</c:f>
              <c:numCache>
                <c:formatCode>0.0</c:formatCode>
                <c:ptCount val="14"/>
                <c:pt idx="0">
                  <c:v>54.428081547658714</c:v>
                </c:pt>
                <c:pt idx="1">
                  <c:v>60.53792027914573</c:v>
                </c:pt>
                <c:pt idx="2">
                  <c:v>68.595833026631681</c:v>
                </c:pt>
                <c:pt idx="3">
                  <c:v>69.189837740066068</c:v>
                </c:pt>
                <c:pt idx="4">
                  <c:v>69.863111227560012</c:v>
                </c:pt>
                <c:pt idx="5">
                  <c:v>69.944126812609269</c:v>
                </c:pt>
                <c:pt idx="6">
                  <c:v>70.067187514407294</c:v>
                </c:pt>
                <c:pt idx="7">
                  <c:v>77.367445988804334</c:v>
                </c:pt>
                <c:pt idx="8">
                  <c:v>77.42032840997291</c:v>
                </c:pt>
                <c:pt idx="9">
                  <c:v>77.515781775773945</c:v>
                </c:pt>
                <c:pt idx="10">
                  <c:v>86.175419388136845</c:v>
                </c:pt>
                <c:pt idx="11">
                  <c:v>79.415057515540113</c:v>
                </c:pt>
                <c:pt idx="12">
                  <c:v>81.545014598937826</c:v>
                </c:pt>
                <c:pt idx="13">
                  <c:v>72.466549678864979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87-4D38-91BE-979DAE886E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62109855"/>
        <c:axId val="1962111103"/>
      </c:barChart>
      <c:catAx>
        <c:axId val="196210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11103"/>
        <c:crosses val="autoZero"/>
        <c:auto val="1"/>
        <c:lblAlgn val="ctr"/>
        <c:lblOffset val="100"/>
        <c:noMultiLvlLbl val="0"/>
      </c:catAx>
      <c:valAx>
        <c:axId val="19621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'Figura 3b'!$B$12</c:f>
              <c:strCache>
                <c:ptCount val="1"/>
                <c:pt idx="0">
                  <c:v>Bioeconomía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3b'!$C$11:$P$11</c:f>
              <c:strCache>
                <c:ptCount val="14"/>
                <c:pt idx="0">
                  <c:v>HND</c:v>
                </c:pt>
                <c:pt idx="1">
                  <c:v>NIC</c:v>
                </c:pt>
                <c:pt idx="2">
                  <c:v>SLV</c:v>
                </c:pt>
                <c:pt idx="3">
                  <c:v>PAN</c:v>
                </c:pt>
                <c:pt idx="4">
                  <c:v>GTM</c:v>
                </c:pt>
                <c:pt idx="5">
                  <c:v>CRI</c:v>
                </c:pt>
                <c:pt idx="6">
                  <c:v>COL</c:v>
                </c:pt>
                <c:pt idx="7">
                  <c:v>PER</c:v>
                </c:pt>
                <c:pt idx="8">
                  <c:v>DOM</c:v>
                </c:pt>
                <c:pt idx="9">
                  <c:v>BRA</c:v>
                </c:pt>
                <c:pt idx="10">
                  <c:v>ECU</c:v>
                </c:pt>
                <c:pt idx="11">
                  <c:v>CHL</c:v>
                </c:pt>
                <c:pt idx="12">
                  <c:v>ARG</c:v>
                </c:pt>
                <c:pt idx="13">
                  <c:v>Promedio</c:v>
                </c:pt>
              </c:strCache>
            </c:strRef>
          </c:cat>
          <c:val>
            <c:numRef>
              <c:f>'Figura 3b'!$C$12:$P$12</c:f>
              <c:numCache>
                <c:formatCode>0.0</c:formatCode>
                <c:ptCount val="14"/>
                <c:pt idx="0">
                  <c:v>12.15697035500555</c:v>
                </c:pt>
                <c:pt idx="1">
                  <c:v>14.814823486804313</c:v>
                </c:pt>
                <c:pt idx="2">
                  <c:v>17.764656309252345</c:v>
                </c:pt>
                <c:pt idx="3">
                  <c:v>8.0342900345944859</c:v>
                </c:pt>
                <c:pt idx="4">
                  <c:v>17.227021709765079</c:v>
                </c:pt>
                <c:pt idx="5">
                  <c:v>27.093430196197222</c:v>
                </c:pt>
                <c:pt idx="6">
                  <c:v>9.7350255849208409</c:v>
                </c:pt>
                <c:pt idx="7">
                  <c:v>11.473124989065717</c:v>
                </c:pt>
                <c:pt idx="8">
                  <c:v>13.088143681848649</c:v>
                </c:pt>
                <c:pt idx="9">
                  <c:v>5.961057631577364</c:v>
                </c:pt>
                <c:pt idx="10">
                  <c:v>9.8610748504064425</c:v>
                </c:pt>
                <c:pt idx="11">
                  <c:v>9.0449297850929149</c:v>
                </c:pt>
                <c:pt idx="12">
                  <c:v>5.9571573505381785</c:v>
                </c:pt>
                <c:pt idx="13">
                  <c:v>12.477823535774549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E-4DBC-B91C-8C7FCB48CEC5}"/>
            </c:ext>
          </c:extLst>
        </c:ser>
        <c:ser>
          <c:idx val="1"/>
          <c:order val="1"/>
          <c:tx>
            <c:strRef>
              <c:f>'Figura 3b'!$B$13</c:f>
              <c:strCache>
                <c:ptCount val="1"/>
                <c:pt idx="0">
                  <c:v>Bioeconomía extendida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3b'!$C$11:$P$11</c:f>
              <c:strCache>
                <c:ptCount val="14"/>
                <c:pt idx="0">
                  <c:v>HND</c:v>
                </c:pt>
                <c:pt idx="1">
                  <c:v>NIC</c:v>
                </c:pt>
                <c:pt idx="2">
                  <c:v>SLV</c:v>
                </c:pt>
                <c:pt idx="3">
                  <c:v>PAN</c:v>
                </c:pt>
                <c:pt idx="4">
                  <c:v>GTM</c:v>
                </c:pt>
                <c:pt idx="5">
                  <c:v>CRI</c:v>
                </c:pt>
                <c:pt idx="6">
                  <c:v>COL</c:v>
                </c:pt>
                <c:pt idx="7">
                  <c:v>PER</c:v>
                </c:pt>
                <c:pt idx="8">
                  <c:v>DOM</c:v>
                </c:pt>
                <c:pt idx="9">
                  <c:v>BRA</c:v>
                </c:pt>
                <c:pt idx="10">
                  <c:v>ECU</c:v>
                </c:pt>
                <c:pt idx="11">
                  <c:v>CHL</c:v>
                </c:pt>
                <c:pt idx="12">
                  <c:v>ARG</c:v>
                </c:pt>
                <c:pt idx="13">
                  <c:v>Promedio</c:v>
                </c:pt>
              </c:strCache>
            </c:strRef>
          </c:cat>
          <c:val>
            <c:numRef>
              <c:f>'Figura 3b'!$C$13:$P$13</c:f>
              <c:numCache>
                <c:formatCode>0.0</c:formatCode>
                <c:ptCount val="14"/>
                <c:pt idx="0">
                  <c:v>40.115545440430992</c:v>
                </c:pt>
                <c:pt idx="1">
                  <c:v>32.17652556289876</c:v>
                </c:pt>
                <c:pt idx="2">
                  <c:v>24.048997137962683</c:v>
                </c:pt>
                <c:pt idx="3">
                  <c:v>29.468849316369035</c:v>
                </c:pt>
                <c:pt idx="4">
                  <c:v>19.212747104716072</c:v>
                </c:pt>
                <c:pt idx="5">
                  <c:v>6.5214339235161525</c:v>
                </c:pt>
                <c:pt idx="6">
                  <c:v>17.668558757009485</c:v>
                </c:pt>
                <c:pt idx="7">
                  <c:v>15.649146542725347</c:v>
                </c:pt>
                <c:pt idx="8">
                  <c:v>11.777270382104197</c:v>
                </c:pt>
                <c:pt idx="9">
                  <c:v>16.791014101620693</c:v>
                </c:pt>
                <c:pt idx="10">
                  <c:v>12.306355318987213</c:v>
                </c:pt>
                <c:pt idx="11">
                  <c:v>12.929330076384721</c:v>
                </c:pt>
                <c:pt idx="12">
                  <c:v>14.687229948964111</c:v>
                </c:pt>
                <c:pt idx="13">
                  <c:v>19.488692585668421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E-4DBC-B91C-8C7FCB48CEC5}"/>
            </c:ext>
          </c:extLst>
        </c:ser>
        <c:ser>
          <c:idx val="2"/>
          <c:order val="2"/>
          <c:tx>
            <c:strRef>
              <c:f>'Figura 3b'!$B$14</c:f>
              <c:strCache>
                <c:ptCount val="1"/>
                <c:pt idx="0">
                  <c:v>No bioeconomía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3b'!$C$11:$P$11</c:f>
              <c:strCache>
                <c:ptCount val="14"/>
                <c:pt idx="0">
                  <c:v>HND</c:v>
                </c:pt>
                <c:pt idx="1">
                  <c:v>NIC</c:v>
                </c:pt>
                <c:pt idx="2">
                  <c:v>SLV</c:v>
                </c:pt>
                <c:pt idx="3">
                  <c:v>PAN</c:v>
                </c:pt>
                <c:pt idx="4">
                  <c:v>GTM</c:v>
                </c:pt>
                <c:pt idx="5">
                  <c:v>CRI</c:v>
                </c:pt>
                <c:pt idx="6">
                  <c:v>COL</c:v>
                </c:pt>
                <c:pt idx="7">
                  <c:v>PER</c:v>
                </c:pt>
                <c:pt idx="8">
                  <c:v>DOM</c:v>
                </c:pt>
                <c:pt idx="9">
                  <c:v>BRA</c:v>
                </c:pt>
                <c:pt idx="10">
                  <c:v>ECU</c:v>
                </c:pt>
                <c:pt idx="11">
                  <c:v>CHL</c:v>
                </c:pt>
                <c:pt idx="12">
                  <c:v>ARG</c:v>
                </c:pt>
                <c:pt idx="13">
                  <c:v>Promedio</c:v>
                </c:pt>
              </c:strCache>
            </c:strRef>
          </c:cat>
          <c:val>
            <c:numRef>
              <c:f>'Figura 3b'!$C$14:$P$14</c:f>
              <c:numCache>
                <c:formatCode>0.0</c:formatCode>
                <c:ptCount val="14"/>
                <c:pt idx="0">
                  <c:v>47.727484204563453</c:v>
                </c:pt>
                <c:pt idx="1">
                  <c:v>53.008650950296918</c:v>
                </c:pt>
                <c:pt idx="2">
                  <c:v>58.186346552784975</c:v>
                </c:pt>
                <c:pt idx="3">
                  <c:v>62.496860649036492</c:v>
                </c:pt>
                <c:pt idx="4">
                  <c:v>63.560231185518845</c:v>
                </c:pt>
                <c:pt idx="5">
                  <c:v>66.385135880286626</c:v>
                </c:pt>
                <c:pt idx="6">
                  <c:v>72.596415658069674</c:v>
                </c:pt>
                <c:pt idx="7">
                  <c:v>72.877728468208929</c:v>
                </c:pt>
                <c:pt idx="8">
                  <c:v>75.134585936047145</c:v>
                </c:pt>
                <c:pt idx="9">
                  <c:v>77.247928266801949</c:v>
                </c:pt>
                <c:pt idx="10">
                  <c:v>77.832569830606346</c:v>
                </c:pt>
                <c:pt idx="11">
                  <c:v>78.025740138522366</c:v>
                </c:pt>
                <c:pt idx="12">
                  <c:v>79.355612700497716</c:v>
                </c:pt>
                <c:pt idx="13">
                  <c:v>68.03348387855705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E-4DBC-B91C-8C7FCB48CE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62109855"/>
        <c:axId val="1962111103"/>
      </c:barChart>
      <c:catAx>
        <c:axId val="196210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11103"/>
        <c:crosses val="autoZero"/>
        <c:auto val="1"/>
        <c:lblAlgn val="ctr"/>
        <c:lblOffset val="100"/>
        <c:noMultiLvlLbl val="0"/>
      </c:catAx>
      <c:valAx>
        <c:axId val="19621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'Figura 3c'!$B$12</c:f>
              <c:strCache>
                <c:ptCount val="1"/>
                <c:pt idx="0">
                  <c:v>Bioeconomía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3c'!$C$11:$P$11</c:f>
              <c:strCache>
                <c:ptCount val="14"/>
                <c:pt idx="0">
                  <c:v>SLV</c:v>
                </c:pt>
                <c:pt idx="1">
                  <c:v>DOM</c:v>
                </c:pt>
                <c:pt idx="2">
                  <c:v>NIC</c:v>
                </c:pt>
                <c:pt idx="3">
                  <c:v>GTM</c:v>
                </c:pt>
                <c:pt idx="4">
                  <c:v>PER</c:v>
                </c:pt>
                <c:pt idx="5">
                  <c:v>HND</c:v>
                </c:pt>
                <c:pt idx="6">
                  <c:v>CHL</c:v>
                </c:pt>
                <c:pt idx="7">
                  <c:v>ARG</c:v>
                </c:pt>
                <c:pt idx="8">
                  <c:v>PAN</c:v>
                </c:pt>
                <c:pt idx="9">
                  <c:v>BRA</c:v>
                </c:pt>
                <c:pt idx="10">
                  <c:v>CRI</c:v>
                </c:pt>
                <c:pt idx="11">
                  <c:v>COL</c:v>
                </c:pt>
                <c:pt idx="12">
                  <c:v>ECU</c:v>
                </c:pt>
                <c:pt idx="13">
                  <c:v>Promedio</c:v>
                </c:pt>
              </c:strCache>
            </c:strRef>
          </c:cat>
          <c:val>
            <c:numRef>
              <c:f>'Figura 3c'!$C$12:$P$12</c:f>
              <c:numCache>
                <c:formatCode>0.0</c:formatCode>
                <c:ptCount val="14"/>
                <c:pt idx="0">
                  <c:v>29.008554812895493</c:v>
                </c:pt>
                <c:pt idx="1">
                  <c:v>30.653737765717576</c:v>
                </c:pt>
                <c:pt idx="2">
                  <c:v>29.261732369988145</c:v>
                </c:pt>
                <c:pt idx="3">
                  <c:v>26.495672170360944</c:v>
                </c:pt>
                <c:pt idx="4">
                  <c:v>25.09669101847873</c:v>
                </c:pt>
                <c:pt idx="5">
                  <c:v>21.15106946772708</c:v>
                </c:pt>
                <c:pt idx="6">
                  <c:v>23.763392849298242</c:v>
                </c:pt>
                <c:pt idx="7">
                  <c:v>29.968347500767411</c:v>
                </c:pt>
                <c:pt idx="8">
                  <c:v>13.943767559394225</c:v>
                </c:pt>
                <c:pt idx="9">
                  <c:v>20.757086418708727</c:v>
                </c:pt>
                <c:pt idx="10">
                  <c:v>32.699162471682619</c:v>
                </c:pt>
                <c:pt idx="11">
                  <c:v>17.44445054040709</c:v>
                </c:pt>
                <c:pt idx="12">
                  <c:v>18.572374246570661</c:v>
                </c:pt>
                <c:pt idx="13">
                  <c:v>24.52431070707669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2-4CA1-B260-4A24675630A0}"/>
            </c:ext>
          </c:extLst>
        </c:ser>
        <c:ser>
          <c:idx val="1"/>
          <c:order val="1"/>
          <c:tx>
            <c:strRef>
              <c:f>'Figura 3c'!$B$13</c:f>
              <c:strCache>
                <c:ptCount val="1"/>
                <c:pt idx="0">
                  <c:v>Bioeconomía extendida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3c'!$C$11:$P$11</c:f>
              <c:strCache>
                <c:ptCount val="14"/>
                <c:pt idx="0">
                  <c:v>SLV</c:v>
                </c:pt>
                <c:pt idx="1">
                  <c:v>DOM</c:v>
                </c:pt>
                <c:pt idx="2">
                  <c:v>NIC</c:v>
                </c:pt>
                <c:pt idx="3">
                  <c:v>GTM</c:v>
                </c:pt>
                <c:pt idx="4">
                  <c:v>PER</c:v>
                </c:pt>
                <c:pt idx="5">
                  <c:v>HND</c:v>
                </c:pt>
                <c:pt idx="6">
                  <c:v>CHL</c:v>
                </c:pt>
                <c:pt idx="7">
                  <c:v>ARG</c:v>
                </c:pt>
                <c:pt idx="8">
                  <c:v>PAN</c:v>
                </c:pt>
                <c:pt idx="9">
                  <c:v>BRA</c:v>
                </c:pt>
                <c:pt idx="10">
                  <c:v>CRI</c:v>
                </c:pt>
                <c:pt idx="11">
                  <c:v>COL</c:v>
                </c:pt>
                <c:pt idx="12">
                  <c:v>ECU</c:v>
                </c:pt>
                <c:pt idx="13">
                  <c:v>Promedio</c:v>
                </c:pt>
              </c:strCache>
            </c:strRef>
          </c:cat>
          <c:val>
            <c:numRef>
              <c:f>'Figura 3c'!$C$13:$P$13</c:f>
              <c:numCache>
                <c:formatCode>0.0</c:formatCode>
                <c:ptCount val="14"/>
                <c:pt idx="0">
                  <c:v>19.153560947430933</c:v>
                </c:pt>
                <c:pt idx="1">
                  <c:v>14.312983431832741</c:v>
                </c:pt>
                <c:pt idx="2">
                  <c:v>15.438034214763935</c:v>
                </c:pt>
                <c:pt idx="3">
                  <c:v>17.407633363665315</c:v>
                </c:pt>
                <c:pt idx="4">
                  <c:v>18.366996132359262</c:v>
                </c:pt>
                <c:pt idx="5">
                  <c:v>21.909331802884481</c:v>
                </c:pt>
                <c:pt idx="6">
                  <c:v>18.214083190688392</c:v>
                </c:pt>
                <c:pt idx="7">
                  <c:v>8.648367484072077</c:v>
                </c:pt>
                <c:pt idx="8">
                  <c:v>23.457395188602614</c:v>
                </c:pt>
                <c:pt idx="9">
                  <c:v>16.572456346532849</c:v>
                </c:pt>
                <c:pt idx="10">
                  <c:v>4.3170445164914577</c:v>
                </c:pt>
                <c:pt idx="11">
                  <c:v>15.857793383442145</c:v>
                </c:pt>
                <c:pt idx="12">
                  <c:v>14.628266558682522</c:v>
                </c:pt>
                <c:pt idx="13">
                  <c:v>16.021842043188364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2-4CA1-B260-4A24675630A0}"/>
            </c:ext>
          </c:extLst>
        </c:ser>
        <c:ser>
          <c:idx val="2"/>
          <c:order val="2"/>
          <c:tx>
            <c:strRef>
              <c:f>'Figura 3c'!$B$14</c:f>
              <c:strCache>
                <c:ptCount val="1"/>
                <c:pt idx="0">
                  <c:v>No bioeconomía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3c'!$C$11:$P$11</c:f>
              <c:strCache>
                <c:ptCount val="14"/>
                <c:pt idx="0">
                  <c:v>SLV</c:v>
                </c:pt>
                <c:pt idx="1">
                  <c:v>DOM</c:v>
                </c:pt>
                <c:pt idx="2">
                  <c:v>NIC</c:v>
                </c:pt>
                <c:pt idx="3">
                  <c:v>GTM</c:v>
                </c:pt>
                <c:pt idx="4">
                  <c:v>PER</c:v>
                </c:pt>
                <c:pt idx="5">
                  <c:v>HND</c:v>
                </c:pt>
                <c:pt idx="6">
                  <c:v>CHL</c:v>
                </c:pt>
                <c:pt idx="7">
                  <c:v>ARG</c:v>
                </c:pt>
                <c:pt idx="8">
                  <c:v>PAN</c:v>
                </c:pt>
                <c:pt idx="9">
                  <c:v>BRA</c:v>
                </c:pt>
                <c:pt idx="10">
                  <c:v>CRI</c:v>
                </c:pt>
                <c:pt idx="11">
                  <c:v>COL</c:v>
                </c:pt>
                <c:pt idx="12">
                  <c:v>ECU</c:v>
                </c:pt>
                <c:pt idx="13">
                  <c:v>Promedio</c:v>
                </c:pt>
              </c:strCache>
            </c:strRef>
          </c:cat>
          <c:val>
            <c:numRef>
              <c:f>'Figura 3c'!$C$14:$P$14</c:f>
              <c:numCache>
                <c:formatCode>0.0</c:formatCode>
                <c:ptCount val="14"/>
                <c:pt idx="0">
                  <c:v>51.837884239673592</c:v>
                </c:pt>
                <c:pt idx="1">
                  <c:v>55.033278802449694</c:v>
                </c:pt>
                <c:pt idx="2">
                  <c:v>55.300233415247924</c:v>
                </c:pt>
                <c:pt idx="3">
                  <c:v>56.096694465973741</c:v>
                </c:pt>
                <c:pt idx="4">
                  <c:v>56.536312849162009</c:v>
                </c:pt>
                <c:pt idx="5">
                  <c:v>56.939598729388429</c:v>
                </c:pt>
                <c:pt idx="6">
                  <c:v>58.022523960013359</c:v>
                </c:pt>
                <c:pt idx="7">
                  <c:v>61.383285015160524</c:v>
                </c:pt>
                <c:pt idx="8">
                  <c:v>62.598837252003172</c:v>
                </c:pt>
                <c:pt idx="9">
                  <c:v>62.670457234758423</c:v>
                </c:pt>
                <c:pt idx="10">
                  <c:v>62.983793011825917</c:v>
                </c:pt>
                <c:pt idx="11">
                  <c:v>66.697756076150768</c:v>
                </c:pt>
                <c:pt idx="12">
                  <c:v>66.799359194746827</c:v>
                </c:pt>
                <c:pt idx="13">
                  <c:v>59.453847249734949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2-4CA1-B260-4A24675630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62109855"/>
        <c:axId val="1962111103"/>
      </c:barChart>
      <c:catAx>
        <c:axId val="196210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11103"/>
        <c:crosses val="autoZero"/>
        <c:auto val="1"/>
        <c:lblAlgn val="ctr"/>
        <c:lblOffset val="100"/>
        <c:noMultiLvlLbl val="0"/>
      </c:catAx>
      <c:valAx>
        <c:axId val="19621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'Figura 4'!$B$12</c:f>
              <c:strCache>
                <c:ptCount val="1"/>
                <c:pt idx="0">
                  <c:v>Bioeconomía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8042399639151925E-3"/>
                  <c:y val="0.3511401313306946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3E-49A5-A884-6D95F6A65D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4'!$C$11:$P$11</c:f>
              <c:strCache>
                <c:ptCount val="14"/>
                <c:pt idx="0">
                  <c:v>ARG</c:v>
                </c:pt>
                <c:pt idx="1">
                  <c:v>BRA</c:v>
                </c:pt>
                <c:pt idx="2">
                  <c:v>CHL</c:v>
                </c:pt>
                <c:pt idx="3">
                  <c:v>SLV</c:v>
                </c:pt>
                <c:pt idx="4">
                  <c:v>DOM</c:v>
                </c:pt>
                <c:pt idx="5">
                  <c:v>PER</c:v>
                </c:pt>
                <c:pt idx="6">
                  <c:v>COL</c:v>
                </c:pt>
                <c:pt idx="7">
                  <c:v>CRI</c:v>
                </c:pt>
                <c:pt idx="8">
                  <c:v>NIC</c:v>
                </c:pt>
                <c:pt idx="9">
                  <c:v>GTM</c:v>
                </c:pt>
                <c:pt idx="10">
                  <c:v>PAN</c:v>
                </c:pt>
                <c:pt idx="11">
                  <c:v>HND</c:v>
                </c:pt>
                <c:pt idx="12">
                  <c:v>ECU</c:v>
                </c:pt>
                <c:pt idx="13">
                  <c:v>Promedio</c:v>
                </c:pt>
              </c:strCache>
            </c:strRef>
          </c:cat>
          <c:val>
            <c:numRef>
              <c:f>'Figura 4'!$C$12:$P$12</c:f>
              <c:numCache>
                <c:formatCode>0.0</c:formatCode>
                <c:ptCount val="14"/>
                <c:pt idx="0">
                  <c:v>17.785243944915567</c:v>
                </c:pt>
                <c:pt idx="1">
                  <c:v>11.82558925417937</c:v>
                </c:pt>
                <c:pt idx="2">
                  <c:v>11.39419233931323</c:v>
                </c:pt>
                <c:pt idx="3">
                  <c:v>10.134858868749589</c:v>
                </c:pt>
                <c:pt idx="4">
                  <c:v>9.9671289146478195</c:v>
                </c:pt>
                <c:pt idx="5">
                  <c:v>8.5478091847966091</c:v>
                </c:pt>
                <c:pt idx="6">
                  <c:v>7.7067386699113367</c:v>
                </c:pt>
                <c:pt idx="7">
                  <c:v>7.5894644424346902</c:v>
                </c:pt>
                <c:pt idx="8">
                  <c:v>4.810290127831899</c:v>
                </c:pt>
                <c:pt idx="9">
                  <c:v>4.7288633215414624</c:v>
                </c:pt>
                <c:pt idx="10">
                  <c:v>4.5584849106206518</c:v>
                </c:pt>
                <c:pt idx="11">
                  <c:v>4.2945366699474246</c:v>
                </c:pt>
                <c:pt idx="12">
                  <c:v>3.84452133834874</c:v>
                </c:pt>
                <c:pt idx="13">
                  <c:v>8.2452093836337212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0-4A97-A720-BD86E5C99A36}"/>
            </c:ext>
          </c:extLst>
        </c:ser>
        <c:ser>
          <c:idx val="1"/>
          <c:order val="1"/>
          <c:tx>
            <c:strRef>
              <c:f>'Figura 4'!$B$13</c:f>
              <c:strCache>
                <c:ptCount val="1"/>
                <c:pt idx="0">
                  <c:v>Bioeconomía extendida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2693376398506038E-18"/>
                  <c:y val="0.3855191663600161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E3-4AFD-AF18-3B2C786583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4'!$C$11:$P$11</c:f>
              <c:strCache>
                <c:ptCount val="14"/>
                <c:pt idx="0">
                  <c:v>ARG</c:v>
                </c:pt>
                <c:pt idx="1">
                  <c:v>BRA</c:v>
                </c:pt>
                <c:pt idx="2">
                  <c:v>CHL</c:v>
                </c:pt>
                <c:pt idx="3">
                  <c:v>SLV</c:v>
                </c:pt>
                <c:pt idx="4">
                  <c:v>DOM</c:v>
                </c:pt>
                <c:pt idx="5">
                  <c:v>PER</c:v>
                </c:pt>
                <c:pt idx="6">
                  <c:v>COL</c:v>
                </c:pt>
                <c:pt idx="7">
                  <c:v>CRI</c:v>
                </c:pt>
                <c:pt idx="8">
                  <c:v>NIC</c:v>
                </c:pt>
                <c:pt idx="9">
                  <c:v>GTM</c:v>
                </c:pt>
                <c:pt idx="10">
                  <c:v>PAN</c:v>
                </c:pt>
                <c:pt idx="11">
                  <c:v>HND</c:v>
                </c:pt>
                <c:pt idx="12">
                  <c:v>ECU</c:v>
                </c:pt>
                <c:pt idx="13">
                  <c:v>Promedio</c:v>
                </c:pt>
              </c:strCache>
            </c:strRef>
          </c:cat>
          <c:val>
            <c:numRef>
              <c:f>'Figura 4'!$C$13:$P$13</c:f>
              <c:numCache>
                <c:formatCode>0.0</c:formatCode>
                <c:ptCount val="14"/>
                <c:pt idx="0">
                  <c:v>17.717331631036942</c:v>
                </c:pt>
                <c:pt idx="1">
                  <c:v>16.874691090907973</c:v>
                </c:pt>
                <c:pt idx="2">
                  <c:v>16.246071716998191</c:v>
                </c:pt>
                <c:pt idx="3">
                  <c:v>8.6851516951465833</c:v>
                </c:pt>
                <c:pt idx="4">
                  <c:v>4.465352434016288</c:v>
                </c:pt>
                <c:pt idx="5">
                  <c:v>9.8601947123148612</c:v>
                </c:pt>
                <c:pt idx="6">
                  <c:v>7.8121030298116168</c:v>
                </c:pt>
                <c:pt idx="7">
                  <c:v>1.7233503773197518</c:v>
                </c:pt>
                <c:pt idx="8">
                  <c:v>7.0857530711773631</c:v>
                </c:pt>
                <c:pt idx="9">
                  <c:v>6.8167290246529246</c:v>
                </c:pt>
                <c:pt idx="10">
                  <c:v>8.9082690460415925</c:v>
                </c:pt>
                <c:pt idx="11">
                  <c:v>5.4723361980389349</c:v>
                </c:pt>
                <c:pt idx="12">
                  <c:v>6.6363991852855149</c:v>
                </c:pt>
                <c:pt idx="13">
                  <c:v>9.1002871702114234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0-4A97-A720-BD86E5C99A36}"/>
            </c:ext>
          </c:extLst>
        </c:ser>
        <c:ser>
          <c:idx val="2"/>
          <c:order val="2"/>
          <c:tx>
            <c:strRef>
              <c:f>'Figura 4'!$B$14</c:f>
              <c:strCache>
                <c:ptCount val="1"/>
                <c:pt idx="0">
                  <c:v>No bioeconomía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4'!$C$11:$P$11</c:f>
              <c:strCache>
                <c:ptCount val="14"/>
                <c:pt idx="0">
                  <c:v>ARG</c:v>
                </c:pt>
                <c:pt idx="1">
                  <c:v>BRA</c:v>
                </c:pt>
                <c:pt idx="2">
                  <c:v>CHL</c:v>
                </c:pt>
                <c:pt idx="3">
                  <c:v>SLV</c:v>
                </c:pt>
                <c:pt idx="4">
                  <c:v>DOM</c:v>
                </c:pt>
                <c:pt idx="5">
                  <c:v>PER</c:v>
                </c:pt>
                <c:pt idx="6">
                  <c:v>COL</c:v>
                </c:pt>
                <c:pt idx="7">
                  <c:v>CRI</c:v>
                </c:pt>
                <c:pt idx="8">
                  <c:v>NIC</c:v>
                </c:pt>
                <c:pt idx="9">
                  <c:v>GTM</c:v>
                </c:pt>
                <c:pt idx="10">
                  <c:v>PAN</c:v>
                </c:pt>
                <c:pt idx="11">
                  <c:v>HND</c:v>
                </c:pt>
                <c:pt idx="12">
                  <c:v>ECU</c:v>
                </c:pt>
                <c:pt idx="13">
                  <c:v>Promedio</c:v>
                </c:pt>
              </c:strCache>
            </c:strRef>
          </c:cat>
          <c:val>
            <c:numRef>
              <c:f>'Figura 4'!$C$14:$P$14</c:f>
              <c:numCache>
                <c:formatCode>0.0</c:formatCode>
                <c:ptCount val="14"/>
                <c:pt idx="0">
                  <c:v>7.321646797316367</c:v>
                </c:pt>
                <c:pt idx="1">
                  <c:v>6.6974047545813864</c:v>
                </c:pt>
                <c:pt idx="2">
                  <c:v>4.0949957060931261</c:v>
                </c:pt>
                <c:pt idx="3">
                  <c:v>4.3699821839383803</c:v>
                </c:pt>
                <c:pt idx="4">
                  <c:v>3.7797157985430978</c:v>
                </c:pt>
                <c:pt idx="5">
                  <c:v>3.4173097283711518</c:v>
                </c:pt>
                <c:pt idx="6">
                  <c:v>4.5307402358206126</c:v>
                </c:pt>
                <c:pt idx="7">
                  <c:v>4.1163158017878017</c:v>
                </c:pt>
                <c:pt idx="8">
                  <c:v>4.3631455543435607</c:v>
                </c:pt>
                <c:pt idx="9">
                  <c:v>3.1485887268537986</c:v>
                </c:pt>
                <c:pt idx="10">
                  <c:v>1.7642663102659411</c:v>
                </c:pt>
                <c:pt idx="11">
                  <c:v>5.3394604881456686</c:v>
                </c:pt>
                <c:pt idx="12">
                  <c:v>4.0801785919538975</c:v>
                </c:pt>
                <c:pt idx="13">
                  <c:v>4.3864423598472913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20-4A97-A720-BD86E5C99A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62109855"/>
        <c:axId val="1962111103"/>
      </c:barChart>
      <c:catAx>
        <c:axId val="196210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11103"/>
        <c:crosses val="autoZero"/>
        <c:auto val="1"/>
        <c:lblAlgn val="ctr"/>
        <c:lblOffset val="100"/>
        <c:noMultiLvlLbl val="0"/>
      </c:catAx>
      <c:valAx>
        <c:axId val="19621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'Figura 5a'!$B$12</c:f>
              <c:strCache>
                <c:ptCount val="1"/>
                <c:pt idx="0">
                  <c:v>Bioeconomía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5a'!$C$11:$P$11</c:f>
              <c:strCache>
                <c:ptCount val="14"/>
                <c:pt idx="0">
                  <c:v>HND</c:v>
                </c:pt>
                <c:pt idx="1">
                  <c:v>NIC</c:v>
                </c:pt>
                <c:pt idx="2">
                  <c:v>DOM</c:v>
                </c:pt>
                <c:pt idx="3">
                  <c:v>GTM</c:v>
                </c:pt>
                <c:pt idx="4">
                  <c:v>SLV</c:v>
                </c:pt>
                <c:pt idx="5">
                  <c:v>ECU</c:v>
                </c:pt>
                <c:pt idx="6">
                  <c:v>PER</c:v>
                </c:pt>
                <c:pt idx="7">
                  <c:v>CRI</c:v>
                </c:pt>
                <c:pt idx="8">
                  <c:v>BRA</c:v>
                </c:pt>
                <c:pt idx="9">
                  <c:v>COL</c:v>
                </c:pt>
                <c:pt idx="10">
                  <c:v>ARG</c:v>
                </c:pt>
                <c:pt idx="11">
                  <c:v>PAN</c:v>
                </c:pt>
                <c:pt idx="12">
                  <c:v>CHL</c:v>
                </c:pt>
                <c:pt idx="13">
                  <c:v>Promedio</c:v>
                </c:pt>
              </c:strCache>
            </c:strRef>
          </c:cat>
          <c:val>
            <c:numRef>
              <c:f>'Figura 5a'!$C$12:$P$12</c:f>
              <c:numCache>
                <c:formatCode>0.0</c:formatCode>
                <c:ptCount val="14"/>
                <c:pt idx="0">
                  <c:v>22.62305736007756</c:v>
                </c:pt>
                <c:pt idx="1">
                  <c:v>26.456428352869636</c:v>
                </c:pt>
                <c:pt idx="2">
                  <c:v>17.850492348527823</c:v>
                </c:pt>
                <c:pt idx="3">
                  <c:v>24.040551448242127</c:v>
                </c:pt>
                <c:pt idx="4">
                  <c:v>18.568827416060905</c:v>
                </c:pt>
                <c:pt idx="5">
                  <c:v>22.971338281518243</c:v>
                </c:pt>
                <c:pt idx="6">
                  <c:v>17.615167091044427</c:v>
                </c:pt>
                <c:pt idx="7">
                  <c:v>20.999157191892547</c:v>
                </c:pt>
                <c:pt idx="8">
                  <c:v>15.705033956451725</c:v>
                </c:pt>
                <c:pt idx="9">
                  <c:v>13.50546913023669</c:v>
                </c:pt>
                <c:pt idx="10">
                  <c:v>17.298050354088709</c:v>
                </c:pt>
                <c:pt idx="11">
                  <c:v>11.994292907336622</c:v>
                </c:pt>
                <c:pt idx="12">
                  <c:v>12.208980342507127</c:v>
                </c:pt>
                <c:pt idx="13">
                  <c:v>18.602834321604163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2-44C2-97D8-12930ADB4E79}"/>
            </c:ext>
          </c:extLst>
        </c:ser>
        <c:ser>
          <c:idx val="1"/>
          <c:order val="1"/>
          <c:tx>
            <c:strRef>
              <c:f>'Figura 5a'!$B$13</c:f>
              <c:strCache>
                <c:ptCount val="1"/>
                <c:pt idx="0">
                  <c:v>Bioeconomía extendida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5a'!$C$11:$P$11</c:f>
              <c:strCache>
                <c:ptCount val="14"/>
                <c:pt idx="0">
                  <c:v>HND</c:v>
                </c:pt>
                <c:pt idx="1">
                  <c:v>NIC</c:v>
                </c:pt>
                <c:pt idx="2">
                  <c:v>DOM</c:v>
                </c:pt>
                <c:pt idx="3">
                  <c:v>GTM</c:v>
                </c:pt>
                <c:pt idx="4">
                  <c:v>SLV</c:v>
                </c:pt>
                <c:pt idx="5">
                  <c:v>ECU</c:v>
                </c:pt>
                <c:pt idx="6">
                  <c:v>PER</c:v>
                </c:pt>
                <c:pt idx="7">
                  <c:v>CRI</c:v>
                </c:pt>
                <c:pt idx="8">
                  <c:v>BRA</c:v>
                </c:pt>
                <c:pt idx="9">
                  <c:v>COL</c:v>
                </c:pt>
                <c:pt idx="10">
                  <c:v>ARG</c:v>
                </c:pt>
                <c:pt idx="11">
                  <c:v>PAN</c:v>
                </c:pt>
                <c:pt idx="12">
                  <c:v>CHL</c:v>
                </c:pt>
                <c:pt idx="13">
                  <c:v>Promedio</c:v>
                </c:pt>
              </c:strCache>
            </c:strRef>
          </c:cat>
          <c:val>
            <c:numRef>
              <c:f>'Figura 5a'!$C$13:$P$13</c:f>
              <c:numCache>
                <c:formatCode>0.0</c:formatCode>
                <c:ptCount val="14"/>
                <c:pt idx="0">
                  <c:v>29.294844423198985</c:v>
                </c:pt>
                <c:pt idx="1">
                  <c:v>17.776114258602224</c:v>
                </c:pt>
                <c:pt idx="2">
                  <c:v>21.812017565965615</c:v>
                </c:pt>
                <c:pt idx="3">
                  <c:v>13.624790907660856</c:v>
                </c:pt>
                <c:pt idx="4">
                  <c:v>18.672303431897713</c:v>
                </c:pt>
                <c:pt idx="5">
                  <c:v>7.5960319059870134</c:v>
                </c:pt>
                <c:pt idx="6">
                  <c:v>9.910731097006245</c:v>
                </c:pt>
                <c:pt idx="7">
                  <c:v>6.4613334011604007</c:v>
                </c:pt>
                <c:pt idx="8">
                  <c:v>10.526450025504847</c:v>
                </c:pt>
                <c:pt idx="9">
                  <c:v>12.409371005179141</c:v>
                </c:pt>
                <c:pt idx="10">
                  <c:v>8.2395473695457007</c:v>
                </c:pt>
                <c:pt idx="11">
                  <c:v>10.639618625975118</c:v>
                </c:pt>
                <c:pt idx="12">
                  <c:v>6.4960137710877888</c:v>
                </c:pt>
                <c:pt idx="13">
                  <c:v>13.343012906828589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2-44C2-97D8-12930ADB4E79}"/>
            </c:ext>
          </c:extLst>
        </c:ser>
        <c:ser>
          <c:idx val="2"/>
          <c:order val="2"/>
          <c:tx>
            <c:strRef>
              <c:f>'Figura 5a'!$B$14</c:f>
              <c:strCache>
                <c:ptCount val="1"/>
                <c:pt idx="0">
                  <c:v>No bioeconomía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5a'!$C$11:$P$11</c:f>
              <c:strCache>
                <c:ptCount val="14"/>
                <c:pt idx="0">
                  <c:v>HND</c:v>
                </c:pt>
                <c:pt idx="1">
                  <c:v>NIC</c:v>
                </c:pt>
                <c:pt idx="2">
                  <c:v>DOM</c:v>
                </c:pt>
                <c:pt idx="3">
                  <c:v>GTM</c:v>
                </c:pt>
                <c:pt idx="4">
                  <c:v>SLV</c:v>
                </c:pt>
                <c:pt idx="5">
                  <c:v>ECU</c:v>
                </c:pt>
                <c:pt idx="6">
                  <c:v>PER</c:v>
                </c:pt>
                <c:pt idx="7">
                  <c:v>CRI</c:v>
                </c:pt>
                <c:pt idx="8">
                  <c:v>BRA</c:v>
                </c:pt>
                <c:pt idx="9">
                  <c:v>COL</c:v>
                </c:pt>
                <c:pt idx="10">
                  <c:v>ARG</c:v>
                </c:pt>
                <c:pt idx="11">
                  <c:v>PAN</c:v>
                </c:pt>
                <c:pt idx="12">
                  <c:v>CHL</c:v>
                </c:pt>
                <c:pt idx="13">
                  <c:v>Promedio</c:v>
                </c:pt>
              </c:strCache>
            </c:strRef>
          </c:cat>
          <c:val>
            <c:numRef>
              <c:f>'Figura 5a'!$C$14:$P$14</c:f>
              <c:numCache>
                <c:formatCode>0.0</c:formatCode>
                <c:ptCount val="14"/>
                <c:pt idx="0">
                  <c:v>48.082098216723473</c:v>
                </c:pt>
                <c:pt idx="1">
                  <c:v>55.711486188213364</c:v>
                </c:pt>
                <c:pt idx="2">
                  <c:v>60.337490085506559</c:v>
                </c:pt>
                <c:pt idx="3">
                  <c:v>62.334657644097</c:v>
                </c:pt>
                <c:pt idx="4">
                  <c:v>62.758869152041363</c:v>
                </c:pt>
                <c:pt idx="5">
                  <c:v>69.432629812494739</c:v>
                </c:pt>
                <c:pt idx="6">
                  <c:v>72.474101811949339</c:v>
                </c:pt>
                <c:pt idx="7">
                  <c:v>72.539509406947062</c:v>
                </c:pt>
                <c:pt idx="8">
                  <c:v>73.768516018043428</c:v>
                </c:pt>
                <c:pt idx="9">
                  <c:v>74.08515986458417</c:v>
                </c:pt>
                <c:pt idx="10">
                  <c:v>74.462402276365594</c:v>
                </c:pt>
                <c:pt idx="11">
                  <c:v>77.259720737662121</c:v>
                </c:pt>
                <c:pt idx="12">
                  <c:v>81.295005886405093</c:v>
                </c:pt>
                <c:pt idx="13">
                  <c:v>68.041665161617942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B2-44C2-97D8-12930ADB4E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62109855"/>
        <c:axId val="1962111103"/>
      </c:barChart>
      <c:catAx>
        <c:axId val="196210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11103"/>
        <c:crosses val="autoZero"/>
        <c:auto val="1"/>
        <c:lblAlgn val="ctr"/>
        <c:lblOffset val="100"/>
        <c:noMultiLvlLbl val="0"/>
      </c:catAx>
      <c:valAx>
        <c:axId val="19621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'Figura 5b'!$B$12</c:f>
              <c:strCache>
                <c:ptCount val="1"/>
                <c:pt idx="0">
                  <c:v>Bioeconomía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5b'!$C$11:$P$11</c:f>
              <c:strCache>
                <c:ptCount val="14"/>
                <c:pt idx="0">
                  <c:v>HND</c:v>
                </c:pt>
                <c:pt idx="1">
                  <c:v>NIC</c:v>
                </c:pt>
                <c:pt idx="2">
                  <c:v>GTM</c:v>
                </c:pt>
                <c:pt idx="3">
                  <c:v>SLV</c:v>
                </c:pt>
                <c:pt idx="4">
                  <c:v>ARG</c:v>
                </c:pt>
                <c:pt idx="5">
                  <c:v>ECU</c:v>
                </c:pt>
                <c:pt idx="6">
                  <c:v>PAN</c:v>
                </c:pt>
                <c:pt idx="7">
                  <c:v>DOM</c:v>
                </c:pt>
                <c:pt idx="8">
                  <c:v>BRA</c:v>
                </c:pt>
                <c:pt idx="9">
                  <c:v>CRI</c:v>
                </c:pt>
                <c:pt idx="10">
                  <c:v>CHL</c:v>
                </c:pt>
                <c:pt idx="11">
                  <c:v>COL</c:v>
                </c:pt>
                <c:pt idx="12">
                  <c:v>PER</c:v>
                </c:pt>
                <c:pt idx="13">
                  <c:v>Promedio</c:v>
                </c:pt>
              </c:strCache>
            </c:strRef>
          </c:cat>
          <c:val>
            <c:numRef>
              <c:f>'Figura 5b'!$C$12:$P$12</c:f>
              <c:numCache>
                <c:formatCode>0.0</c:formatCode>
                <c:ptCount val="14"/>
                <c:pt idx="0">
                  <c:v>31.877871532304354</c:v>
                </c:pt>
                <c:pt idx="1">
                  <c:v>44.001578589486776</c:v>
                </c:pt>
                <c:pt idx="2">
                  <c:v>41.485305695286947</c:v>
                </c:pt>
                <c:pt idx="3">
                  <c:v>14.726665911405313</c:v>
                </c:pt>
                <c:pt idx="4">
                  <c:v>45.786228205135821</c:v>
                </c:pt>
                <c:pt idx="5">
                  <c:v>46.951067637759429</c:v>
                </c:pt>
                <c:pt idx="6">
                  <c:v>4.0060501267754356</c:v>
                </c:pt>
                <c:pt idx="7">
                  <c:v>13.077223715233243</c:v>
                </c:pt>
                <c:pt idx="8">
                  <c:v>35.255244591515002</c:v>
                </c:pt>
                <c:pt idx="9">
                  <c:v>31.616691998824408</c:v>
                </c:pt>
                <c:pt idx="10">
                  <c:v>22.239358638095954</c:v>
                </c:pt>
                <c:pt idx="11">
                  <c:v>14.163101059494704</c:v>
                </c:pt>
                <c:pt idx="12">
                  <c:v>17.908010178890198</c:v>
                </c:pt>
                <c:pt idx="13">
                  <c:v>27.930338298477508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F-45AF-86DF-F2AA524FDDDF}"/>
            </c:ext>
          </c:extLst>
        </c:ser>
        <c:ser>
          <c:idx val="1"/>
          <c:order val="1"/>
          <c:tx>
            <c:strRef>
              <c:f>'Figura 5b'!$B$13</c:f>
              <c:strCache>
                <c:ptCount val="1"/>
                <c:pt idx="0">
                  <c:v>Bioeconomía extendida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5b'!$C$11:$P$11</c:f>
              <c:strCache>
                <c:ptCount val="14"/>
                <c:pt idx="0">
                  <c:v>HND</c:v>
                </c:pt>
                <c:pt idx="1">
                  <c:v>NIC</c:v>
                </c:pt>
                <c:pt idx="2">
                  <c:v>GTM</c:v>
                </c:pt>
                <c:pt idx="3">
                  <c:v>SLV</c:v>
                </c:pt>
                <c:pt idx="4">
                  <c:v>ARG</c:v>
                </c:pt>
                <c:pt idx="5">
                  <c:v>ECU</c:v>
                </c:pt>
                <c:pt idx="6">
                  <c:v>PAN</c:v>
                </c:pt>
                <c:pt idx="7">
                  <c:v>DOM</c:v>
                </c:pt>
                <c:pt idx="8">
                  <c:v>BRA</c:v>
                </c:pt>
                <c:pt idx="9">
                  <c:v>CRI</c:v>
                </c:pt>
                <c:pt idx="10">
                  <c:v>CHL</c:v>
                </c:pt>
                <c:pt idx="11">
                  <c:v>COL</c:v>
                </c:pt>
                <c:pt idx="12">
                  <c:v>PER</c:v>
                </c:pt>
                <c:pt idx="13">
                  <c:v>Promedio</c:v>
                </c:pt>
              </c:strCache>
            </c:strRef>
          </c:cat>
          <c:val>
            <c:numRef>
              <c:f>'Figura 5b'!$C$13:$P$13</c:f>
              <c:numCache>
                <c:formatCode>0.0</c:formatCode>
                <c:ptCount val="14"/>
                <c:pt idx="0">
                  <c:v>44.79592491381996</c:v>
                </c:pt>
                <c:pt idx="1">
                  <c:v>25.954824302151991</c:v>
                </c:pt>
                <c:pt idx="2">
                  <c:v>15.378668219690327</c:v>
                </c:pt>
                <c:pt idx="3">
                  <c:v>36.47510583397321</c:v>
                </c:pt>
                <c:pt idx="4">
                  <c:v>7.2615566554393691</c:v>
                </c:pt>
                <c:pt idx="5">
                  <c:v>1.3628291985227308</c:v>
                </c:pt>
                <c:pt idx="6">
                  <c:v>27.453971114911667</c:v>
                </c:pt>
                <c:pt idx="7">
                  <c:v>25.312962005169133</c:v>
                </c:pt>
                <c:pt idx="8">
                  <c:v>5.9520650579090315</c:v>
                </c:pt>
                <c:pt idx="9">
                  <c:v>4.2087733875268363</c:v>
                </c:pt>
                <c:pt idx="10">
                  <c:v>9.9062305388248717</c:v>
                </c:pt>
                <c:pt idx="11">
                  <c:v>10.756036063569683</c:v>
                </c:pt>
                <c:pt idx="12">
                  <c:v>5.4622008323250304</c:v>
                </c:pt>
                <c:pt idx="13">
                  <c:v>16.944703701833376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F-45AF-86DF-F2AA524FDDDF}"/>
            </c:ext>
          </c:extLst>
        </c:ser>
        <c:ser>
          <c:idx val="2"/>
          <c:order val="2"/>
          <c:tx>
            <c:strRef>
              <c:f>'Figura 5b'!$B$14</c:f>
              <c:strCache>
                <c:ptCount val="1"/>
                <c:pt idx="0">
                  <c:v>No bioeconomía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5b'!$C$11:$P$11</c:f>
              <c:strCache>
                <c:ptCount val="14"/>
                <c:pt idx="0">
                  <c:v>HND</c:v>
                </c:pt>
                <c:pt idx="1">
                  <c:v>NIC</c:v>
                </c:pt>
                <c:pt idx="2">
                  <c:v>GTM</c:v>
                </c:pt>
                <c:pt idx="3">
                  <c:v>SLV</c:v>
                </c:pt>
                <c:pt idx="4">
                  <c:v>ARG</c:v>
                </c:pt>
                <c:pt idx="5">
                  <c:v>ECU</c:v>
                </c:pt>
                <c:pt idx="6">
                  <c:v>PAN</c:v>
                </c:pt>
                <c:pt idx="7">
                  <c:v>DOM</c:v>
                </c:pt>
                <c:pt idx="8">
                  <c:v>BRA</c:v>
                </c:pt>
                <c:pt idx="9">
                  <c:v>CRI</c:v>
                </c:pt>
                <c:pt idx="10">
                  <c:v>CHL</c:v>
                </c:pt>
                <c:pt idx="11">
                  <c:v>COL</c:v>
                </c:pt>
                <c:pt idx="12">
                  <c:v>PER</c:v>
                </c:pt>
                <c:pt idx="13">
                  <c:v>Promedio</c:v>
                </c:pt>
              </c:strCache>
            </c:strRef>
          </c:cat>
          <c:val>
            <c:numRef>
              <c:f>'Figura 5b'!$C$14:$P$14</c:f>
              <c:numCache>
                <c:formatCode>0.0</c:formatCode>
                <c:ptCount val="14"/>
                <c:pt idx="0">
                  <c:v>21.563145092339798</c:v>
                </c:pt>
                <c:pt idx="1">
                  <c:v>27.587614094801587</c:v>
                </c:pt>
                <c:pt idx="2">
                  <c:v>33.795784408611468</c:v>
                </c:pt>
                <c:pt idx="3">
                  <c:v>44.468204737539608</c:v>
                </c:pt>
                <c:pt idx="4">
                  <c:v>45.055368963362454</c:v>
                </c:pt>
                <c:pt idx="5">
                  <c:v>51.686103163717831</c:v>
                </c:pt>
                <c:pt idx="6">
                  <c:v>54.143115189617255</c:v>
                </c:pt>
                <c:pt idx="7">
                  <c:v>61.609814279597607</c:v>
                </c:pt>
                <c:pt idx="8">
                  <c:v>58.792690350575974</c:v>
                </c:pt>
                <c:pt idx="9">
                  <c:v>64.17453461364876</c:v>
                </c:pt>
                <c:pt idx="10">
                  <c:v>67.854410823079164</c:v>
                </c:pt>
                <c:pt idx="11">
                  <c:v>75.080862876935612</c:v>
                </c:pt>
                <c:pt idx="12">
                  <c:v>76.629788988784782</c:v>
                </c:pt>
                <c:pt idx="13">
                  <c:v>52.495495198662454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5F-45AF-86DF-F2AA524FDD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62109855"/>
        <c:axId val="1962111103"/>
      </c:barChart>
      <c:catAx>
        <c:axId val="196210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11103"/>
        <c:crosses val="autoZero"/>
        <c:auto val="1"/>
        <c:lblAlgn val="ctr"/>
        <c:lblOffset val="100"/>
        <c:noMultiLvlLbl val="0"/>
      </c:catAx>
      <c:valAx>
        <c:axId val="19621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'Figura 5c'!$B$12</c:f>
              <c:strCache>
                <c:ptCount val="1"/>
                <c:pt idx="0">
                  <c:v>Bioeconomía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5c'!$C$11:$P$11</c:f>
              <c:strCache>
                <c:ptCount val="14"/>
                <c:pt idx="0">
                  <c:v>HND</c:v>
                </c:pt>
                <c:pt idx="1">
                  <c:v>GTM</c:v>
                </c:pt>
                <c:pt idx="2">
                  <c:v>NIC</c:v>
                </c:pt>
                <c:pt idx="3">
                  <c:v>SLV</c:v>
                </c:pt>
                <c:pt idx="4">
                  <c:v>DOM</c:v>
                </c:pt>
                <c:pt idx="5">
                  <c:v>CRI</c:v>
                </c:pt>
                <c:pt idx="6">
                  <c:v>PER</c:v>
                </c:pt>
                <c:pt idx="7">
                  <c:v>PAN</c:v>
                </c:pt>
                <c:pt idx="8">
                  <c:v>COL</c:v>
                </c:pt>
                <c:pt idx="9">
                  <c:v>ECU</c:v>
                </c:pt>
                <c:pt idx="10">
                  <c:v>CHL</c:v>
                </c:pt>
                <c:pt idx="11">
                  <c:v>BRA</c:v>
                </c:pt>
                <c:pt idx="12">
                  <c:v>ARG</c:v>
                </c:pt>
                <c:pt idx="13">
                  <c:v>Promedio</c:v>
                </c:pt>
              </c:strCache>
            </c:strRef>
          </c:cat>
          <c:val>
            <c:numRef>
              <c:f>'Figura 5c'!$C$12:$P$12</c:f>
              <c:numCache>
                <c:formatCode>0.0</c:formatCode>
                <c:ptCount val="14"/>
                <c:pt idx="0">
                  <c:v>31.71542330809714</c:v>
                </c:pt>
                <c:pt idx="1">
                  <c:v>33.427127124162055</c:v>
                </c:pt>
                <c:pt idx="2">
                  <c:v>30.183808145098766</c:v>
                </c:pt>
                <c:pt idx="3">
                  <c:v>28.190745380652789</c:v>
                </c:pt>
                <c:pt idx="4">
                  <c:v>28.289716908833444</c:v>
                </c:pt>
                <c:pt idx="5">
                  <c:v>36.358305622395584</c:v>
                </c:pt>
                <c:pt idx="6">
                  <c:v>20.066676742263276</c:v>
                </c:pt>
                <c:pt idx="7">
                  <c:v>18.916574096143428</c:v>
                </c:pt>
                <c:pt idx="8">
                  <c:v>18.54195169892353</c:v>
                </c:pt>
                <c:pt idx="9">
                  <c:v>22.142261216863208</c:v>
                </c:pt>
                <c:pt idx="10">
                  <c:v>18.215756097266915</c:v>
                </c:pt>
                <c:pt idx="11">
                  <c:v>18.876008758496177</c:v>
                </c:pt>
                <c:pt idx="12">
                  <c:v>20.293307521984552</c:v>
                </c:pt>
                <c:pt idx="13">
                  <c:v>25.016743278552379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3-4535-820E-3B1943CAD528}"/>
            </c:ext>
          </c:extLst>
        </c:ser>
        <c:ser>
          <c:idx val="1"/>
          <c:order val="1"/>
          <c:tx>
            <c:strRef>
              <c:f>'Figura 5c'!$B$13</c:f>
              <c:strCache>
                <c:ptCount val="1"/>
                <c:pt idx="0">
                  <c:v>Bioeconomía extendida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5c'!$C$11:$P$11</c:f>
              <c:strCache>
                <c:ptCount val="14"/>
                <c:pt idx="0">
                  <c:v>HND</c:v>
                </c:pt>
                <c:pt idx="1">
                  <c:v>GTM</c:v>
                </c:pt>
                <c:pt idx="2">
                  <c:v>NIC</c:v>
                </c:pt>
                <c:pt idx="3">
                  <c:v>SLV</c:v>
                </c:pt>
                <c:pt idx="4">
                  <c:v>DOM</c:v>
                </c:pt>
                <c:pt idx="5">
                  <c:v>CRI</c:v>
                </c:pt>
                <c:pt idx="6">
                  <c:v>PER</c:v>
                </c:pt>
                <c:pt idx="7">
                  <c:v>PAN</c:v>
                </c:pt>
                <c:pt idx="8">
                  <c:v>COL</c:v>
                </c:pt>
                <c:pt idx="9">
                  <c:v>ECU</c:v>
                </c:pt>
                <c:pt idx="10">
                  <c:v>CHL</c:v>
                </c:pt>
                <c:pt idx="11">
                  <c:v>BRA</c:v>
                </c:pt>
                <c:pt idx="12">
                  <c:v>ARG</c:v>
                </c:pt>
                <c:pt idx="13">
                  <c:v>Promedio</c:v>
                </c:pt>
              </c:strCache>
            </c:strRef>
          </c:cat>
          <c:val>
            <c:numRef>
              <c:f>'Figura 5c'!$C$13:$P$13</c:f>
              <c:numCache>
                <c:formatCode>0.0</c:formatCode>
                <c:ptCount val="14"/>
                <c:pt idx="0">
                  <c:v>17.48651479865838</c:v>
                </c:pt>
                <c:pt idx="1">
                  <c:v>15.344708512415274</c:v>
                </c:pt>
                <c:pt idx="2">
                  <c:v>17.761190955856975</c:v>
                </c:pt>
                <c:pt idx="3">
                  <c:v>15.873181314132509</c:v>
                </c:pt>
                <c:pt idx="4">
                  <c:v>12.608442946352568</c:v>
                </c:pt>
                <c:pt idx="5">
                  <c:v>3.3880595440764849</c:v>
                </c:pt>
                <c:pt idx="6">
                  <c:v>17.660979881404302</c:v>
                </c:pt>
                <c:pt idx="7">
                  <c:v>23.901683689823834</c:v>
                </c:pt>
                <c:pt idx="8">
                  <c:v>16.648226670172892</c:v>
                </c:pt>
                <c:pt idx="9">
                  <c:v>11.501854706977289</c:v>
                </c:pt>
                <c:pt idx="10">
                  <c:v>14.734824482724546</c:v>
                </c:pt>
                <c:pt idx="11">
                  <c:v>13.599337487103586</c:v>
                </c:pt>
                <c:pt idx="12">
                  <c:v>7.3164609846267954</c:v>
                </c:pt>
                <c:pt idx="13">
                  <c:v>14.448112767255802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43-4535-820E-3B1943CAD528}"/>
            </c:ext>
          </c:extLst>
        </c:ser>
        <c:ser>
          <c:idx val="2"/>
          <c:order val="2"/>
          <c:tx>
            <c:strRef>
              <c:f>'Figura 5c'!$B$14</c:f>
              <c:strCache>
                <c:ptCount val="1"/>
                <c:pt idx="0">
                  <c:v>No bioeconomía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5c'!$C$11:$P$11</c:f>
              <c:strCache>
                <c:ptCount val="14"/>
                <c:pt idx="0">
                  <c:v>HND</c:v>
                </c:pt>
                <c:pt idx="1">
                  <c:v>GTM</c:v>
                </c:pt>
                <c:pt idx="2">
                  <c:v>NIC</c:v>
                </c:pt>
                <c:pt idx="3">
                  <c:v>SLV</c:v>
                </c:pt>
                <c:pt idx="4">
                  <c:v>DOM</c:v>
                </c:pt>
                <c:pt idx="5">
                  <c:v>CRI</c:v>
                </c:pt>
                <c:pt idx="6">
                  <c:v>PER</c:v>
                </c:pt>
                <c:pt idx="7">
                  <c:v>PAN</c:v>
                </c:pt>
                <c:pt idx="8">
                  <c:v>COL</c:v>
                </c:pt>
                <c:pt idx="9">
                  <c:v>ECU</c:v>
                </c:pt>
                <c:pt idx="10">
                  <c:v>CHL</c:v>
                </c:pt>
                <c:pt idx="11">
                  <c:v>BRA</c:v>
                </c:pt>
                <c:pt idx="12">
                  <c:v>ARG</c:v>
                </c:pt>
                <c:pt idx="13">
                  <c:v>Promedio</c:v>
                </c:pt>
              </c:strCache>
            </c:strRef>
          </c:cat>
          <c:val>
            <c:numRef>
              <c:f>'Figura 5c'!$C$14:$P$14</c:f>
              <c:numCache>
                <c:formatCode>0.0</c:formatCode>
                <c:ptCount val="14"/>
                <c:pt idx="0">
                  <c:v>50.344542251536637</c:v>
                </c:pt>
                <c:pt idx="1">
                  <c:v>52.982487424626591</c:v>
                </c:pt>
                <c:pt idx="2">
                  <c:v>53.258333553275492</c:v>
                </c:pt>
                <c:pt idx="3">
                  <c:v>55.766718962604998</c:v>
                </c:pt>
                <c:pt idx="4">
                  <c:v>59.101840144813956</c:v>
                </c:pt>
                <c:pt idx="5">
                  <c:v>60.253634833527933</c:v>
                </c:pt>
                <c:pt idx="6">
                  <c:v>62.272343376332429</c:v>
                </c:pt>
                <c:pt idx="7">
                  <c:v>63.92186607781656</c:v>
                </c:pt>
                <c:pt idx="8">
                  <c:v>64.809821630903571</c:v>
                </c:pt>
                <c:pt idx="9">
                  <c:v>66.355884076159498</c:v>
                </c:pt>
                <c:pt idx="10">
                  <c:v>67.049419420008533</c:v>
                </c:pt>
                <c:pt idx="11">
                  <c:v>67.524653754400248</c:v>
                </c:pt>
                <c:pt idx="12">
                  <c:v>72.467774989812341</c:v>
                </c:pt>
                <c:pt idx="13">
                  <c:v>61.23917849967836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43-4535-820E-3B1943CAD52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62109855"/>
        <c:axId val="1962111103"/>
      </c:barChart>
      <c:catAx>
        <c:axId val="196210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11103"/>
        <c:crosses val="autoZero"/>
        <c:auto val="1"/>
        <c:lblAlgn val="ctr"/>
        <c:lblOffset val="100"/>
        <c:noMultiLvlLbl val="0"/>
      </c:catAx>
      <c:valAx>
        <c:axId val="19621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'Figura 6 y 7'!$B$6</c:f>
              <c:strCache>
                <c:ptCount val="1"/>
                <c:pt idx="0">
                  <c:v>Bioeconomía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orbel" panose="020B0503020204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6 y 7'!$C$5:$I$5</c:f>
              <c:strCache>
                <c:ptCount val="7"/>
                <c:pt idx="0">
                  <c:v>Agricultura</c:v>
                </c:pt>
                <c:pt idx="1">
                  <c:v>Minería</c:v>
                </c:pt>
                <c:pt idx="2">
                  <c:v>Manufacturas</c:v>
                </c:pt>
                <c:pt idx="3">
                  <c:v>Servicios básicos</c:v>
                </c:pt>
                <c:pt idx="4">
                  <c:v>Construcción</c:v>
                </c:pt>
                <c:pt idx="5">
                  <c:v>Comercio</c:v>
                </c:pt>
                <c:pt idx="6">
                  <c:v>Otros servicios</c:v>
                </c:pt>
              </c:strCache>
            </c:strRef>
          </c:cat>
          <c:val>
            <c:numRef>
              <c:f>'Figura 6 y 7'!$C$6:$I$6</c:f>
              <c:numCache>
                <c:formatCode>0.0</c:formatCode>
                <c:ptCount val="7"/>
                <c:pt idx="0">
                  <c:v>44.327819213315522</c:v>
                </c:pt>
                <c:pt idx="1">
                  <c:v>1.0131771557472911</c:v>
                </c:pt>
                <c:pt idx="2">
                  <c:v>34.80194530913684</c:v>
                </c:pt>
                <c:pt idx="3">
                  <c:v>0.55146384495266454</c:v>
                </c:pt>
                <c:pt idx="4">
                  <c:v>2.51062282370374</c:v>
                </c:pt>
                <c:pt idx="5">
                  <c:v>2.0285432016754457</c:v>
                </c:pt>
                <c:pt idx="6">
                  <c:v>11.190457775565868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F-47A8-AD00-B4C17B8B3495}"/>
            </c:ext>
          </c:extLst>
        </c:ser>
        <c:ser>
          <c:idx val="1"/>
          <c:order val="1"/>
          <c:tx>
            <c:strRef>
              <c:f>'Figura 6 y 7'!$B$7</c:f>
              <c:strCache>
                <c:ptCount val="1"/>
                <c:pt idx="0">
                  <c:v>Bioeconomía extendida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1.749999483267869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BF-47A8-AD00-B4C17B8B3495}"/>
                </c:ext>
              </c:extLst>
            </c:dLbl>
            <c:dLbl>
              <c:idx val="4"/>
              <c:layout>
                <c:manualLayout>
                  <c:x val="0"/>
                  <c:y val="-1.16666632217857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BF-47A8-AD00-B4C17B8B34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orbel" panose="020B0503020204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6 y 7'!$C$5:$I$5</c:f>
              <c:strCache>
                <c:ptCount val="7"/>
                <c:pt idx="0">
                  <c:v>Agricultura</c:v>
                </c:pt>
                <c:pt idx="1">
                  <c:v>Minería</c:v>
                </c:pt>
                <c:pt idx="2">
                  <c:v>Manufacturas</c:v>
                </c:pt>
                <c:pt idx="3">
                  <c:v>Servicios básicos</c:v>
                </c:pt>
                <c:pt idx="4">
                  <c:v>Construcción</c:v>
                </c:pt>
                <c:pt idx="5">
                  <c:v>Comercio</c:v>
                </c:pt>
                <c:pt idx="6">
                  <c:v>Otros servicios</c:v>
                </c:pt>
              </c:strCache>
            </c:strRef>
          </c:cat>
          <c:val>
            <c:numRef>
              <c:f>'Figura 6 y 7'!$C$7:$I$7</c:f>
              <c:numCache>
                <c:formatCode>0.0</c:formatCode>
                <c:ptCount val="7"/>
                <c:pt idx="0">
                  <c:v>24.946030821562982</c:v>
                </c:pt>
                <c:pt idx="1">
                  <c:v>11.858944511659123</c:v>
                </c:pt>
                <c:pt idx="2">
                  <c:v>17.012739512211184</c:v>
                </c:pt>
                <c:pt idx="3">
                  <c:v>7.0228812645047709</c:v>
                </c:pt>
                <c:pt idx="4">
                  <c:v>6.000935032783417</c:v>
                </c:pt>
                <c:pt idx="5">
                  <c:v>9.0519969398596238</c:v>
                </c:pt>
                <c:pt idx="6">
                  <c:v>10.148752390901711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BF-47A8-AD00-B4C17B8B3495}"/>
            </c:ext>
          </c:extLst>
        </c:ser>
        <c:ser>
          <c:idx val="2"/>
          <c:order val="2"/>
          <c:tx>
            <c:strRef>
              <c:f>'Figura 6 y 7'!$B$8</c:f>
              <c:strCache>
                <c:ptCount val="1"/>
                <c:pt idx="0">
                  <c:v>No bioeconomía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orbel" panose="020B0503020204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6 y 7'!$C$5:$I$5</c:f>
              <c:strCache>
                <c:ptCount val="7"/>
                <c:pt idx="0">
                  <c:v>Agricultura</c:v>
                </c:pt>
                <c:pt idx="1">
                  <c:v>Minería</c:v>
                </c:pt>
                <c:pt idx="2">
                  <c:v>Manufacturas</c:v>
                </c:pt>
                <c:pt idx="3">
                  <c:v>Servicios básicos</c:v>
                </c:pt>
                <c:pt idx="4">
                  <c:v>Construcción</c:v>
                </c:pt>
                <c:pt idx="5">
                  <c:v>Comercio</c:v>
                </c:pt>
                <c:pt idx="6">
                  <c:v>Otros servicios</c:v>
                </c:pt>
              </c:strCache>
            </c:strRef>
          </c:cat>
          <c:val>
            <c:numRef>
              <c:f>'Figura 6 y 7'!$C$8:$I$8</c:f>
              <c:numCache>
                <c:formatCode>0.0</c:formatCode>
                <c:ptCount val="7"/>
                <c:pt idx="0">
                  <c:v>30.726149965121497</c:v>
                </c:pt>
                <c:pt idx="1">
                  <c:v>87.127878332593582</c:v>
                </c:pt>
                <c:pt idx="2">
                  <c:v>48.185315178651997</c:v>
                </c:pt>
                <c:pt idx="3">
                  <c:v>92.425654890542575</c:v>
                </c:pt>
                <c:pt idx="4">
                  <c:v>91.488442143512827</c:v>
                </c:pt>
                <c:pt idx="5">
                  <c:v>88.919459858464933</c:v>
                </c:pt>
                <c:pt idx="6">
                  <c:v>78.660789833532419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BF-47A8-AD00-B4C17B8B34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0607695"/>
        <c:axId val="150599535"/>
      </c:barChart>
      <c:catAx>
        <c:axId val="15060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orbel" panose="020B0503020204020204" pitchFamily="34" charset="0"/>
                <a:ea typeface="+mn-ea"/>
                <a:cs typeface="+mn-cs"/>
              </a:defRPr>
            </a:pPr>
            <a:endParaRPr lang="en-US"/>
          </a:p>
        </c:txPr>
        <c:crossAx val="150599535"/>
        <c:crosses val="autoZero"/>
        <c:auto val="1"/>
        <c:lblAlgn val="ctr"/>
        <c:lblOffset val="100"/>
        <c:noMultiLvlLbl val="0"/>
      </c:catAx>
      <c:valAx>
        <c:axId val="1505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orbel" panose="020B0503020204020204" pitchFamily="34" charset="0"/>
                <a:ea typeface="+mn-ea"/>
                <a:cs typeface="+mn-cs"/>
              </a:defRPr>
            </a:pPr>
            <a:endParaRPr lang="en-US"/>
          </a:p>
        </c:txPr>
        <c:crossAx val="15060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Corbel" panose="020B0503020204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Corbel" panose="020B05030202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[Figuras.xlsx]Figura 6 y 7!PivotTable2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orbel" panose="020B0503020204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orbel" panose="020B0503020204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orbel" panose="020B0503020204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orbel" panose="020B0503020204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orbel" panose="020B0503020204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orbel" panose="020B0503020204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orbel" panose="020B0503020204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'Figura 6 y 7'!$H$40:$H$42</c:f>
              <c:strCache>
                <c:ptCount val="1"/>
                <c:pt idx="0">
                  <c:v>Bioeconomía - Vía consumo intermedio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orbel" panose="020B0503020204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6 y 7'!$G$43:$G$56</c:f>
              <c:strCache>
                <c:ptCount val="13"/>
                <c:pt idx="0">
                  <c:v>ARG</c:v>
                </c:pt>
                <c:pt idx="1">
                  <c:v>BRA</c:v>
                </c:pt>
                <c:pt idx="2">
                  <c:v>CHL</c:v>
                </c:pt>
                <c:pt idx="3">
                  <c:v>COL</c:v>
                </c:pt>
                <c:pt idx="4">
                  <c:v>CRI</c:v>
                </c:pt>
                <c:pt idx="5">
                  <c:v>DOM</c:v>
                </c:pt>
                <c:pt idx="6">
                  <c:v>ECU</c:v>
                </c:pt>
                <c:pt idx="7">
                  <c:v>GTM</c:v>
                </c:pt>
                <c:pt idx="8">
                  <c:v>HND</c:v>
                </c:pt>
                <c:pt idx="9">
                  <c:v>NIC</c:v>
                </c:pt>
                <c:pt idx="10">
                  <c:v>PAN</c:v>
                </c:pt>
                <c:pt idx="11">
                  <c:v>PER</c:v>
                </c:pt>
                <c:pt idx="12">
                  <c:v>SLV</c:v>
                </c:pt>
              </c:strCache>
            </c:strRef>
          </c:cat>
          <c:val>
            <c:numRef>
              <c:f>'Figura 6 y 7'!$H$43:$H$56</c:f>
              <c:numCache>
                <c:formatCode>0.0</c:formatCode>
                <c:ptCount val="13"/>
                <c:pt idx="0">
                  <c:v>12.265470289051377</c:v>
                </c:pt>
                <c:pt idx="1">
                  <c:v>14.679675291274318</c:v>
                </c:pt>
                <c:pt idx="2">
                  <c:v>8.0224813957791401</c:v>
                </c:pt>
                <c:pt idx="3">
                  <c:v>11.761424298010043</c:v>
                </c:pt>
                <c:pt idx="4">
                  <c:v>17.190101993748623</c:v>
                </c:pt>
                <c:pt idx="5">
                  <c:v>15.280776007393392</c:v>
                </c:pt>
                <c:pt idx="6">
                  <c:v>15.944296804526306</c:v>
                </c:pt>
                <c:pt idx="7">
                  <c:v>18.348224404606547</c:v>
                </c:pt>
                <c:pt idx="8">
                  <c:v>16.174809382918433</c:v>
                </c:pt>
                <c:pt idx="9">
                  <c:v>20.02622090095916</c:v>
                </c:pt>
                <c:pt idx="10">
                  <c:v>8.2858519965789696</c:v>
                </c:pt>
                <c:pt idx="11">
                  <c:v>14.315449439273159</c:v>
                </c:pt>
                <c:pt idx="12">
                  <c:v>13.962499505010095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9-49E8-843A-B2F1CDA777A1}"/>
            </c:ext>
          </c:extLst>
        </c:ser>
        <c:ser>
          <c:idx val="1"/>
          <c:order val="1"/>
          <c:tx>
            <c:strRef>
              <c:f>'Figura 6 y 7'!$I$40:$I$42</c:f>
              <c:strCache>
                <c:ptCount val="1"/>
                <c:pt idx="0">
                  <c:v>Bioeconomía - Vía catálogo de sectores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orbel" panose="020B0503020204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'Figura 6 y 7'!$G$43:$G$56</c:f>
              <c:strCache>
                <c:ptCount val="13"/>
                <c:pt idx="0">
                  <c:v>ARG</c:v>
                </c:pt>
                <c:pt idx="1">
                  <c:v>BRA</c:v>
                </c:pt>
                <c:pt idx="2">
                  <c:v>CHL</c:v>
                </c:pt>
                <c:pt idx="3">
                  <c:v>COL</c:v>
                </c:pt>
                <c:pt idx="4">
                  <c:v>CRI</c:v>
                </c:pt>
                <c:pt idx="5">
                  <c:v>DOM</c:v>
                </c:pt>
                <c:pt idx="6">
                  <c:v>ECU</c:v>
                </c:pt>
                <c:pt idx="7">
                  <c:v>GTM</c:v>
                </c:pt>
                <c:pt idx="8">
                  <c:v>HND</c:v>
                </c:pt>
                <c:pt idx="9">
                  <c:v>NIC</c:v>
                </c:pt>
                <c:pt idx="10">
                  <c:v>PAN</c:v>
                </c:pt>
                <c:pt idx="11">
                  <c:v>PER</c:v>
                </c:pt>
                <c:pt idx="12">
                  <c:v>SLV</c:v>
                </c:pt>
              </c:strCache>
            </c:strRef>
          </c:cat>
          <c:val>
            <c:numRef>
              <c:f>'Figura 6 y 7'!$I$43:$I$56</c:f>
              <c:numCache>
                <c:formatCode>0.0</c:formatCode>
                <c:ptCount val="13"/>
                <c:pt idx="0">
                  <c:v>10.885246446201345</c:v>
                </c:pt>
                <c:pt idx="1">
                  <c:v>7.7741363965297818</c:v>
                </c:pt>
                <c:pt idx="2">
                  <c:v>10.10460972481035</c:v>
                </c:pt>
                <c:pt idx="3">
                  <c:v>10.349788547670457</c:v>
                </c:pt>
                <c:pt idx="4">
                  <c:v>11.963689594056621</c:v>
                </c:pt>
                <c:pt idx="5">
                  <c:v>12.426104595861277</c:v>
                </c:pt>
                <c:pt idx="6">
                  <c:v>16.559330888476449</c:v>
                </c:pt>
                <c:pt idx="7">
                  <c:v>17.224932277793993</c:v>
                </c:pt>
                <c:pt idx="8">
                  <c:v>12.838958973921294</c:v>
                </c:pt>
                <c:pt idx="9">
                  <c:v>24.924476156364072</c:v>
                </c:pt>
                <c:pt idx="10">
                  <c:v>5.3932351761560939</c:v>
                </c:pt>
                <c:pt idx="11">
                  <c:v>12.673408194089456</c:v>
                </c:pt>
                <c:pt idx="12">
                  <c:v>12.842237570956803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E9-49E8-843A-B2F1CDA777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601455"/>
        <c:axId val="150602895"/>
      </c:barChart>
      <c:catAx>
        <c:axId val="15060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orbel" panose="020B0503020204020204" pitchFamily="34" charset="0"/>
                <a:ea typeface="+mn-ea"/>
                <a:cs typeface="+mn-cs"/>
              </a:defRPr>
            </a:pPr>
            <a:endParaRPr lang="en-US"/>
          </a:p>
        </c:txPr>
        <c:crossAx val="150602895"/>
        <c:crosses val="autoZero"/>
        <c:auto val="1"/>
        <c:lblAlgn val="ctr"/>
        <c:lblOffset val="100"/>
        <c:noMultiLvlLbl val="0"/>
      </c:catAx>
      <c:valAx>
        <c:axId val="15060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orbel" panose="020B0503020204020204" pitchFamily="34" charset="0"/>
                <a:ea typeface="+mn-ea"/>
                <a:cs typeface="+mn-cs"/>
              </a:defRPr>
            </a:pPr>
            <a:endParaRPr lang="en-US"/>
          </a:p>
        </c:txPr>
        <c:crossAx val="15060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Corbel" panose="020B0503020204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Corbel" panose="020B05030202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FBK!$B$12</c:f>
              <c:strCache>
                <c:ptCount val="1"/>
                <c:pt idx="0">
                  <c:v>Bioeconomía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FBK!$C$11:$P$11</c:f>
              <c:strCache>
                <c:ptCount val="14"/>
                <c:pt idx="0">
                  <c:v>NIC</c:v>
                </c:pt>
                <c:pt idx="1">
                  <c:v>HND</c:v>
                </c:pt>
                <c:pt idx="2">
                  <c:v>ECU</c:v>
                </c:pt>
                <c:pt idx="3">
                  <c:v>PER</c:v>
                </c:pt>
                <c:pt idx="4">
                  <c:v>SLV</c:v>
                </c:pt>
                <c:pt idx="5">
                  <c:v>CRI</c:v>
                </c:pt>
                <c:pt idx="6">
                  <c:v>COL</c:v>
                </c:pt>
                <c:pt idx="7">
                  <c:v>GTM</c:v>
                </c:pt>
                <c:pt idx="8">
                  <c:v>CHL</c:v>
                </c:pt>
                <c:pt idx="9">
                  <c:v>PAN</c:v>
                </c:pt>
                <c:pt idx="10">
                  <c:v>DOM</c:v>
                </c:pt>
                <c:pt idx="11">
                  <c:v>ARG</c:v>
                </c:pt>
                <c:pt idx="12">
                  <c:v>BRA</c:v>
                </c:pt>
                <c:pt idx="13">
                  <c:v>Promedio</c:v>
                </c:pt>
              </c:strCache>
            </c:strRef>
          </c:cat>
          <c:val>
            <c:numRef>
              <c:f>FBK!$C$12:$P$12</c:f>
              <c:numCache>
                <c:formatCode>0.0</c:formatCode>
                <c:ptCount val="14"/>
                <c:pt idx="0">
                  <c:v>12.637341652421918</c:v>
                </c:pt>
                <c:pt idx="1">
                  <c:v>9.7729895358786685</c:v>
                </c:pt>
                <c:pt idx="2">
                  <c:v>5.5401286452657832</c:v>
                </c:pt>
                <c:pt idx="3">
                  <c:v>5.1940489521676536</c:v>
                </c:pt>
                <c:pt idx="4">
                  <c:v>3.2207386395163184</c:v>
                </c:pt>
                <c:pt idx="5">
                  <c:v>2.989020596484262</c:v>
                </c:pt>
                <c:pt idx="6">
                  <c:v>2.798912913687448</c:v>
                </c:pt>
                <c:pt idx="7">
                  <c:v>2.5857605962803203</c:v>
                </c:pt>
                <c:pt idx="8">
                  <c:v>1.0715533744601013</c:v>
                </c:pt>
                <c:pt idx="9">
                  <c:v>1.0679440401366438</c:v>
                </c:pt>
                <c:pt idx="10">
                  <c:v>1.0295670791325655</c:v>
                </c:pt>
                <c:pt idx="11">
                  <c:v>0</c:v>
                </c:pt>
                <c:pt idx="12">
                  <c:v>0</c:v>
                </c:pt>
                <c:pt idx="13">
                  <c:v>3.6852312327255139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7-4A12-AC4B-E3A349FF9E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62109855"/>
        <c:axId val="1962111103"/>
      </c:barChart>
      <c:catAx>
        <c:axId val="196210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11103"/>
        <c:crosses val="autoZero"/>
        <c:auto val="1"/>
        <c:lblAlgn val="ctr"/>
        <c:lblOffset val="100"/>
        <c:noMultiLvlLbl val="0"/>
      </c:catAx>
      <c:valAx>
        <c:axId val="19621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1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15</xdr:row>
      <xdr:rowOff>185736</xdr:rowOff>
    </xdr:from>
    <xdr:to>
      <xdr:col>10</xdr:col>
      <xdr:colOff>352425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6993A5-ADE6-35A9-041D-9EC5E8786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16</xdr:row>
      <xdr:rowOff>90486</xdr:rowOff>
    </xdr:from>
    <xdr:to>
      <xdr:col>10</xdr:col>
      <xdr:colOff>285750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AC662-D4E4-480C-B1D1-7DAB6A58D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18</xdr:row>
      <xdr:rowOff>119061</xdr:rowOff>
    </xdr:from>
    <xdr:to>
      <xdr:col>10</xdr:col>
      <xdr:colOff>285750</xdr:colOff>
      <xdr:row>39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7C3A9-7B96-482F-BCFD-8801DD0A6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19</xdr:row>
      <xdr:rowOff>33336</xdr:rowOff>
    </xdr:from>
    <xdr:to>
      <xdr:col>11</xdr:col>
      <xdr:colOff>276224</xdr:colOff>
      <xdr:row>41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6893E-6479-4B30-BF08-FFEEAA636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17</xdr:row>
      <xdr:rowOff>90486</xdr:rowOff>
    </xdr:from>
    <xdr:to>
      <xdr:col>13</xdr:col>
      <xdr:colOff>438150</xdr:colOff>
      <xdr:row>37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8A29A-B233-4087-AAC8-13DC29F10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19</xdr:row>
      <xdr:rowOff>61911</xdr:rowOff>
    </xdr:from>
    <xdr:to>
      <xdr:col>11</xdr:col>
      <xdr:colOff>38100</xdr:colOff>
      <xdr:row>39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B7E7C-0734-4D9B-877E-2B2588F8C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17</xdr:row>
      <xdr:rowOff>33336</xdr:rowOff>
    </xdr:from>
    <xdr:to>
      <xdr:col>10</xdr:col>
      <xdr:colOff>314325</xdr:colOff>
      <xdr:row>37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FA1C32-FAEF-47F2-876F-1B30976A6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108856</xdr:rowOff>
    </xdr:from>
    <xdr:to>
      <xdr:col>9</xdr:col>
      <xdr:colOff>285750</xdr:colOff>
      <xdr:row>32</xdr:row>
      <xdr:rowOff>81643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1B181-2A59-4CBE-BA8F-F254EAB70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913278</xdr:colOff>
      <xdr:row>51</xdr:row>
      <xdr:rowOff>0</xdr:rowOff>
    </xdr:from>
    <xdr:to>
      <xdr:col>13</xdr:col>
      <xdr:colOff>358588</xdr:colOff>
      <xdr:row>75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D9B314-532C-4F43-8DEC-7F9F78955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17</xdr:row>
      <xdr:rowOff>52385</xdr:rowOff>
    </xdr:from>
    <xdr:to>
      <xdr:col>10</xdr:col>
      <xdr:colOff>581025</xdr:colOff>
      <xdr:row>40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2459F-A1F1-446A-9DB2-0E46E79BD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onsolidad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Vargas" refreshedDate="45119.451027314812" createdVersion="8" refreshedVersion="8" minRefreshableVersion="3" recordCount="78" xr:uid="{7C7B01EE-E2A1-4E12-8058-F45301285AFA}">
  <cacheSource type="worksheet">
    <worksheetSource ref="A40:E118" sheet="Figura 6 y 7" r:id="rId2"/>
  </cacheSource>
  <cacheFields count="5">
    <cacheField name="País" numFmtId="49">
      <sharedItems count="13">
        <s v="ARG"/>
        <s v="BRA"/>
        <s v="CHL"/>
        <s v="COL"/>
        <s v="CRI"/>
        <s v="DOM"/>
        <s v="ECU"/>
        <s v="GTM"/>
        <s v="HND"/>
        <s v="NIC"/>
        <s v="PAN"/>
        <s v="PER"/>
        <s v="SLV"/>
      </sharedItems>
    </cacheField>
    <cacheField name="Concepto" numFmtId="0">
      <sharedItems count="3">
        <s v="Bioeconomía"/>
        <s v="Bioeconomía extendida"/>
        <s v="No bioeconomía"/>
      </sharedItems>
    </cacheField>
    <cacheField name="Ajuste de valor agregado" numFmtId="0">
      <sharedItems count="4">
        <s v="Vía consumo intermedio"/>
        <s v="Vía catálogo de sectores"/>
        <s v="Vía CI" u="1"/>
        <s v="Vía sectores" u="1"/>
      </sharedItems>
    </cacheField>
    <cacheField name="Fracción" numFmtId="2">
      <sharedItems containsSemiMixedTypes="0" containsString="0" containsNumber="1" minValue="7.8659810239118319E-3" maxValue="0.89751282054939685"/>
    </cacheField>
    <cacheField name="Porcentaje" numFmtId="166">
      <sharedItems containsSemiMixedTypes="0" containsString="0" containsNumber="1" minValue="0.78659810239118322" maxValue="89.7512820549396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x v="0"/>
    <x v="0"/>
    <n v="0.12265470289051376"/>
    <n v="12.265470289051377"/>
  </r>
  <r>
    <x v="0"/>
    <x v="1"/>
    <x v="0"/>
    <n v="7.0496706952242028E-2"/>
    <n v="7.0496706952242025"/>
  </r>
  <r>
    <x v="0"/>
    <x v="2"/>
    <x v="0"/>
    <n v="0.80684859015724431"/>
    <n v="80.684859015724427"/>
  </r>
  <r>
    <x v="1"/>
    <x v="0"/>
    <x v="0"/>
    <n v="0.14679675291274319"/>
    <n v="14.679675291274318"/>
  </r>
  <r>
    <x v="1"/>
    <x v="1"/>
    <x v="0"/>
    <n v="9.1557630210939364E-2"/>
    <n v="9.1557630210939358"/>
  </r>
  <r>
    <x v="1"/>
    <x v="2"/>
    <x v="0"/>
    <n v="0.76164561687631749"/>
    <n v="76.164561687631746"/>
  </r>
  <r>
    <x v="2"/>
    <x v="0"/>
    <x v="0"/>
    <n v="8.0224813957791394E-2"/>
    <n v="8.0224813957791401"/>
  </r>
  <r>
    <x v="2"/>
    <x v="1"/>
    <x v="0"/>
    <n v="5.9125887755635466E-2"/>
    <n v="5.9125887755635462"/>
  </r>
  <r>
    <x v="2"/>
    <x v="2"/>
    <x v="0"/>
    <n v="0.86064929828657311"/>
    <n v="86.064929828657313"/>
  </r>
  <r>
    <x v="3"/>
    <x v="0"/>
    <x v="0"/>
    <n v="0.11761424298010044"/>
    <n v="11.761424298010043"/>
  </r>
  <r>
    <x v="3"/>
    <x v="1"/>
    <x v="0"/>
    <n v="0.10786690320061787"/>
    <n v="10.786690320061787"/>
  </r>
  <r>
    <x v="3"/>
    <x v="2"/>
    <x v="0"/>
    <n v="0.77451885381928165"/>
    <n v="77.451885381928165"/>
  </r>
  <r>
    <x v="4"/>
    <x v="0"/>
    <x v="0"/>
    <n v="0.17190101993748624"/>
    <n v="17.190101993748623"/>
  </r>
  <r>
    <x v="4"/>
    <x v="1"/>
    <x v="0"/>
    <n v="5.3720931858697044E-2"/>
    <n v="5.3720931858697041"/>
  </r>
  <r>
    <x v="4"/>
    <x v="2"/>
    <x v="0"/>
    <n v="0.77437804820381673"/>
    <n v="77.437804820381672"/>
  </r>
  <r>
    <x v="5"/>
    <x v="0"/>
    <x v="0"/>
    <n v="0.15280776007393393"/>
    <n v="15.280776007393392"/>
  </r>
  <r>
    <x v="5"/>
    <x v="1"/>
    <x v="0"/>
    <n v="0.26799694212246999"/>
    <n v="26.799694212247001"/>
  </r>
  <r>
    <x v="5"/>
    <x v="2"/>
    <x v="0"/>
    <n v="0.57919529780359602"/>
    <n v="57.919529780359603"/>
  </r>
  <r>
    <x v="6"/>
    <x v="0"/>
    <x v="0"/>
    <n v="0.15944296804526306"/>
    <n v="15.944296804526306"/>
  </r>
  <r>
    <x v="6"/>
    <x v="1"/>
    <x v="0"/>
    <n v="8.3974272134598613E-2"/>
    <n v="8.3974272134598618"/>
  </r>
  <r>
    <x v="6"/>
    <x v="2"/>
    <x v="0"/>
    <n v="0.75658275982013834"/>
    <n v="75.658275982013834"/>
  </r>
  <r>
    <x v="7"/>
    <x v="0"/>
    <x v="0"/>
    <n v="0.18348224404606547"/>
    <n v="18.348224404606547"/>
  </r>
  <r>
    <x v="7"/>
    <x v="1"/>
    <x v="0"/>
    <n v="0.10478609951163137"/>
    <n v="10.478609951163136"/>
  </r>
  <r>
    <x v="7"/>
    <x v="2"/>
    <x v="0"/>
    <n v="0.71173165644230307"/>
    <n v="71.173165644230309"/>
  </r>
  <r>
    <x v="8"/>
    <x v="0"/>
    <x v="0"/>
    <n v="0.16174809382918434"/>
    <n v="16.174809382918433"/>
  </r>
  <r>
    <x v="8"/>
    <x v="1"/>
    <x v="0"/>
    <n v="0.21864292434734928"/>
    <n v="21.864292434734928"/>
  </r>
  <r>
    <x v="8"/>
    <x v="2"/>
    <x v="0"/>
    <n v="0.61960898182346635"/>
    <n v="61.960898182346632"/>
  </r>
  <r>
    <x v="9"/>
    <x v="0"/>
    <x v="0"/>
    <n v="0.2002622090095916"/>
    <n v="20.02622090095916"/>
  </r>
  <r>
    <x v="9"/>
    <x v="1"/>
    <x v="0"/>
    <n v="0.16620051657635473"/>
    <n v="16.620051657635475"/>
  </r>
  <r>
    <x v="9"/>
    <x v="2"/>
    <x v="0"/>
    <n v="0.63353727441405372"/>
    <n v="63.353727441405368"/>
  </r>
  <r>
    <x v="10"/>
    <x v="0"/>
    <x v="0"/>
    <n v="8.2858519965789704E-2"/>
    <n v="8.2858519965789696"/>
  </r>
  <r>
    <x v="10"/>
    <x v="1"/>
    <x v="0"/>
    <n v="0.10431594747858021"/>
    <n v="10.431594747858021"/>
  </r>
  <r>
    <x v="10"/>
    <x v="2"/>
    <x v="0"/>
    <n v="0.81282553255563006"/>
    <n v="81.282553255563002"/>
  </r>
  <r>
    <x v="11"/>
    <x v="0"/>
    <x v="0"/>
    <n v="0.14315449439273159"/>
    <n v="14.315449439273159"/>
  </r>
  <r>
    <x v="11"/>
    <x v="1"/>
    <x v="0"/>
    <n v="9.9471401840559776E-2"/>
    <n v="9.9471401840559768"/>
  </r>
  <r>
    <x v="11"/>
    <x v="2"/>
    <x v="0"/>
    <n v="0.75737410376670855"/>
    <n v="75.737410376670852"/>
  </r>
  <r>
    <x v="12"/>
    <x v="0"/>
    <x v="0"/>
    <n v="0.13962499505010095"/>
    <n v="13.962499505010095"/>
  </r>
  <r>
    <x v="12"/>
    <x v="1"/>
    <x v="0"/>
    <n v="0.12025248397123042"/>
    <n v="12.025248397123041"/>
  </r>
  <r>
    <x v="12"/>
    <x v="2"/>
    <x v="0"/>
    <n v="0.7401225209786686"/>
    <n v="74.012252097866863"/>
  </r>
  <r>
    <x v="0"/>
    <x v="0"/>
    <x v="1"/>
    <n v="0.10885246446201345"/>
    <n v="10.885246446201345"/>
  </r>
  <r>
    <x v="0"/>
    <x v="1"/>
    <x v="1"/>
    <n v="5.9260347707237294E-2"/>
    <n v="5.9260347707237297"/>
  </r>
  <r>
    <x v="0"/>
    <x v="2"/>
    <x v="1"/>
    <n v="0.83188718783074933"/>
    <n v="83.188718783074933"/>
  </r>
  <r>
    <x v="1"/>
    <x v="0"/>
    <x v="1"/>
    <n v="7.7741363965297822E-2"/>
    <n v="7.7741363965297818"/>
  </r>
  <r>
    <x v="1"/>
    <x v="1"/>
    <x v="1"/>
    <n v="7.6344459878725374E-2"/>
    <n v="7.634445987872537"/>
  </r>
  <r>
    <x v="1"/>
    <x v="2"/>
    <x v="1"/>
    <n v="0.84591417615597686"/>
    <n v="84.591417615597692"/>
  </r>
  <r>
    <x v="2"/>
    <x v="0"/>
    <x v="1"/>
    <n v="0.10104609724810351"/>
    <n v="10.10460972481035"/>
  </r>
  <r>
    <x v="2"/>
    <x v="1"/>
    <x v="1"/>
    <n v="6.8076990176591107E-2"/>
    <n v="6.807699017659111"/>
  </r>
  <r>
    <x v="2"/>
    <x v="2"/>
    <x v="1"/>
    <n v="0.83087691257530527"/>
    <n v="83.087691257530523"/>
  </r>
  <r>
    <x v="3"/>
    <x v="0"/>
    <x v="1"/>
    <n v="0.10349788547670456"/>
    <n v="10.349788547670457"/>
  </r>
  <r>
    <x v="3"/>
    <x v="1"/>
    <x v="1"/>
    <n v="3.2520832961581696E-2"/>
    <n v="3.2520832961581694"/>
  </r>
  <r>
    <x v="3"/>
    <x v="2"/>
    <x v="1"/>
    <n v="0.86398128156171372"/>
    <n v="86.398128156171367"/>
  </r>
  <r>
    <x v="4"/>
    <x v="0"/>
    <x v="1"/>
    <n v="0.11963689594056622"/>
    <n v="11.963689594056621"/>
  </r>
  <r>
    <x v="4"/>
    <x v="1"/>
    <x v="1"/>
    <n v="7.8659810239118319E-3"/>
    <n v="0.78659810239118322"/>
  </r>
  <r>
    <x v="4"/>
    <x v="2"/>
    <x v="1"/>
    <n v="0.87249712303552196"/>
    <n v="87.249712303552201"/>
  </r>
  <r>
    <x v="5"/>
    <x v="0"/>
    <x v="1"/>
    <n v="0.12426104595861277"/>
    <n v="12.426104595861277"/>
  </r>
  <r>
    <x v="5"/>
    <x v="1"/>
    <x v="1"/>
    <n v="7.2704107896765582E-2"/>
    <n v="7.270410789676558"/>
  </r>
  <r>
    <x v="5"/>
    <x v="2"/>
    <x v="1"/>
    <n v="0.80303484614462173"/>
    <n v="80.303484614462178"/>
  </r>
  <r>
    <x v="6"/>
    <x v="0"/>
    <x v="1"/>
    <n v="0.16559330888476448"/>
    <n v="16.559330888476449"/>
  </r>
  <r>
    <x v="6"/>
    <x v="1"/>
    <x v="1"/>
    <n v="0.11957748029274455"/>
    <n v="11.957748029274455"/>
  </r>
  <r>
    <x v="6"/>
    <x v="2"/>
    <x v="1"/>
    <n v="0.71482921082249096"/>
    <n v="71.482921082249092"/>
  </r>
  <r>
    <x v="7"/>
    <x v="0"/>
    <x v="1"/>
    <n v="0.17224932277793994"/>
    <n v="17.224932277793993"/>
  </r>
  <r>
    <x v="7"/>
    <x v="1"/>
    <x v="1"/>
    <n v="4.6838433354217293E-2"/>
    <n v="4.683843335421729"/>
  </r>
  <r>
    <x v="7"/>
    <x v="2"/>
    <x v="1"/>
    <n v="0.78091224386784275"/>
    <n v="78.091224386784276"/>
  </r>
  <r>
    <x v="8"/>
    <x v="0"/>
    <x v="1"/>
    <n v="0.12838958973921294"/>
    <n v="12.838958973921294"/>
  </r>
  <r>
    <x v="8"/>
    <x v="1"/>
    <x v="1"/>
    <n v="0.22162574977144511"/>
    <n v="22.162574977144512"/>
  </r>
  <r>
    <x v="8"/>
    <x v="2"/>
    <x v="1"/>
    <n v="0.649984660489342"/>
    <n v="64.998466048934205"/>
  </r>
  <r>
    <x v="9"/>
    <x v="0"/>
    <x v="1"/>
    <n v="0.24924476156364073"/>
    <n v="24.924476156364072"/>
  </r>
  <r>
    <x v="9"/>
    <x v="1"/>
    <x v="1"/>
    <n v="0.10050194628787426"/>
    <n v="10.050194628787427"/>
  </r>
  <r>
    <x v="9"/>
    <x v="2"/>
    <x v="1"/>
    <n v="0.65025329214848504"/>
    <n v="65.025329214848497"/>
  </r>
  <r>
    <x v="10"/>
    <x v="0"/>
    <x v="1"/>
    <n v="5.3932351761560943E-2"/>
    <n v="5.3932351761560939"/>
  </r>
  <r>
    <x v="10"/>
    <x v="1"/>
    <x v="1"/>
    <n v="4.8554827689042207E-2"/>
    <n v="4.8554827689042206"/>
  </r>
  <r>
    <x v="10"/>
    <x v="2"/>
    <x v="1"/>
    <n v="0.89751282054939685"/>
    <n v="89.751282054939679"/>
  </r>
  <r>
    <x v="11"/>
    <x v="0"/>
    <x v="1"/>
    <n v="0.12673408194089456"/>
    <n v="12.673408194089456"/>
  </r>
  <r>
    <x v="11"/>
    <x v="1"/>
    <x v="1"/>
    <n v="0.16238180173731212"/>
    <n v="16.238180173731212"/>
  </r>
  <r>
    <x v="11"/>
    <x v="2"/>
    <x v="1"/>
    <n v="0.71088411632179338"/>
    <n v="71.088411632179344"/>
  </r>
  <r>
    <x v="12"/>
    <x v="0"/>
    <x v="1"/>
    <n v="0.12842237570956802"/>
    <n v="12.842237570956803"/>
  </r>
  <r>
    <x v="12"/>
    <x v="1"/>
    <x v="1"/>
    <n v="0.10910200427127059"/>
    <n v="10.910200427127059"/>
  </r>
  <r>
    <x v="12"/>
    <x v="2"/>
    <x v="1"/>
    <n v="0.76247562001916136"/>
    <n v="76.2475620019161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AF10F-18D2-44F4-869B-691231DE51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G40:K56" firstHeaderRow="1" firstDataRow="3" firstDataCol="1"/>
  <pivotFields count="5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4">
        <item x="0"/>
        <item h="1" x="1"/>
        <item h="1" x="2"/>
        <item t="default"/>
      </items>
    </pivotField>
    <pivotField axis="axisCol" showAll="0">
      <items count="5">
        <item m="1" x="2"/>
        <item m="1" x="3"/>
        <item x="0"/>
        <item x="1"/>
        <item t="default"/>
      </items>
    </pivotField>
    <pivotField numFmtId="2" showAll="0"/>
    <pivotField dataField="1" numFmtId="166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1"/>
    <field x="2"/>
  </colFields>
  <colItems count="4">
    <i>
      <x/>
      <x v="2"/>
    </i>
    <i r="1">
      <x v="3"/>
    </i>
    <i t="default">
      <x/>
    </i>
    <i t="grand">
      <x/>
    </i>
  </colItems>
  <dataFields count="1">
    <dataField name="Sum of Porcentaje" fld="4" baseField="0" baseItem="1" numFmtId="166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8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8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9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9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10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10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77E2-C603-4D1F-87C4-F1D7C68FFD4B}">
  <sheetPr>
    <pageSetUpPr fitToPage="1"/>
  </sheetPr>
  <dimension ref="B1:B36"/>
  <sheetViews>
    <sheetView workbookViewId="0"/>
  </sheetViews>
  <sheetFormatPr defaultRowHeight="15" x14ac:dyDescent="0.25"/>
  <sheetData>
    <row r="1" spans="2:2" ht="18.75" x14ac:dyDescent="0.3">
      <c r="B1" s="29" t="s">
        <v>113</v>
      </c>
    </row>
    <row r="2" spans="2:2" ht="18.75" x14ac:dyDescent="0.3">
      <c r="B2" s="29" t="s">
        <v>114</v>
      </c>
    </row>
    <row r="3" spans="2:2" ht="18.75" x14ac:dyDescent="0.3">
      <c r="B3" s="29" t="s">
        <v>115</v>
      </c>
    </row>
    <row r="4" spans="2:2" ht="18.75" x14ac:dyDescent="0.3">
      <c r="B4" s="31" t="s">
        <v>116</v>
      </c>
    </row>
    <row r="5" spans="2:2" ht="18.75" x14ac:dyDescent="0.3">
      <c r="B5" s="31"/>
    </row>
    <row r="6" spans="2:2" x14ac:dyDescent="0.25">
      <c r="B6" s="32" t="s">
        <v>120</v>
      </c>
    </row>
    <row r="7" spans="2:2" x14ac:dyDescent="0.25">
      <c r="B7" s="33" t="s">
        <v>119</v>
      </c>
    </row>
    <row r="8" spans="2:2" x14ac:dyDescent="0.25">
      <c r="B8" s="33" t="s">
        <v>121</v>
      </c>
    </row>
    <row r="10" spans="2:2" ht="21" x14ac:dyDescent="0.35">
      <c r="B10" s="30" t="s">
        <v>117</v>
      </c>
    </row>
    <row r="12" spans="2:2" x14ac:dyDescent="0.25">
      <c r="B12" s="28" t="s">
        <v>42</v>
      </c>
    </row>
    <row r="13" spans="2:2" x14ac:dyDescent="0.25">
      <c r="B13" s="28" t="s">
        <v>39</v>
      </c>
    </row>
    <row r="14" spans="2:2" x14ac:dyDescent="0.25">
      <c r="B14" s="28" t="s">
        <v>44</v>
      </c>
    </row>
    <row r="15" spans="2:2" x14ac:dyDescent="0.25">
      <c r="B15" s="28" t="s">
        <v>38</v>
      </c>
    </row>
    <row r="16" spans="2:2" x14ac:dyDescent="0.25">
      <c r="B16" s="28" t="s">
        <v>45</v>
      </c>
    </row>
    <row r="17" spans="2:2" x14ac:dyDescent="0.25">
      <c r="B17" s="28" t="s">
        <v>61</v>
      </c>
    </row>
    <row r="18" spans="2:2" x14ac:dyDescent="0.25">
      <c r="B18" s="28" t="s">
        <v>63</v>
      </c>
    </row>
    <row r="19" spans="2:2" x14ac:dyDescent="0.25">
      <c r="B19" s="28" t="s">
        <v>72</v>
      </c>
    </row>
    <row r="20" spans="2:2" x14ac:dyDescent="0.25">
      <c r="B20" s="28" t="s">
        <v>76</v>
      </c>
    </row>
    <row r="21" spans="2:2" x14ac:dyDescent="0.25">
      <c r="B21" s="28" t="s">
        <v>77</v>
      </c>
    </row>
    <row r="22" spans="2:2" x14ac:dyDescent="0.25">
      <c r="B22" s="28" t="s">
        <v>79</v>
      </c>
    </row>
    <row r="23" spans="2:2" x14ac:dyDescent="0.25">
      <c r="B23" s="28" t="s">
        <v>82</v>
      </c>
    </row>
    <row r="24" spans="2:2" x14ac:dyDescent="0.25">
      <c r="B24" s="28" t="s">
        <v>84</v>
      </c>
    </row>
    <row r="27" spans="2:2" ht="21" x14ac:dyDescent="0.35">
      <c r="B27" s="30" t="s">
        <v>104</v>
      </c>
    </row>
    <row r="29" spans="2:2" x14ac:dyDescent="0.25">
      <c r="B29" s="28" t="s">
        <v>105</v>
      </c>
    </row>
    <row r="30" spans="2:2" x14ac:dyDescent="0.25">
      <c r="B30" s="28" t="s">
        <v>106</v>
      </c>
    </row>
    <row r="31" spans="2:2" x14ac:dyDescent="0.25">
      <c r="B31" s="28" t="s">
        <v>107</v>
      </c>
    </row>
    <row r="32" spans="2:2" x14ac:dyDescent="0.25">
      <c r="B32" s="28" t="s">
        <v>108</v>
      </c>
    </row>
    <row r="33" spans="2:2" x14ac:dyDescent="0.25">
      <c r="B33" s="28" t="s">
        <v>109</v>
      </c>
    </row>
    <row r="34" spans="2:2" x14ac:dyDescent="0.25">
      <c r="B34" s="28" t="s">
        <v>110</v>
      </c>
    </row>
    <row r="35" spans="2:2" x14ac:dyDescent="0.25">
      <c r="B35" s="28" t="s">
        <v>111</v>
      </c>
    </row>
    <row r="36" spans="2:2" x14ac:dyDescent="0.25">
      <c r="B36" s="28" t="s">
        <v>112</v>
      </c>
    </row>
  </sheetData>
  <hyperlinks>
    <hyperlink ref="B29" location="Producción!A1" display="Valor Bruto de Producción" xr:uid="{28A16FA4-CA4D-4DFC-A599-7AC5CF05426A}"/>
    <hyperlink ref="B30" location="Importaciones!A1" display="Importaciones" xr:uid="{5D050ACA-5DB4-428C-A89A-B66D16022DDA}"/>
    <hyperlink ref="B31" location="'Consumo intermedio'!A1" display="Consumo Intermedio" xr:uid="{8B0252AC-FCD0-4C8A-AB3B-57974B7E1288}"/>
    <hyperlink ref="B32" location="Exportaciones!A1" display="Exportaciones" xr:uid="{B9F9DFD8-1660-4B83-85FE-FB8865DD8A28}"/>
    <hyperlink ref="B33" location="'Impuestos-Subv.'!A1" display="Impuestos - Subvenciones" xr:uid="{BF2710AB-16EB-44CE-85D2-0D23A4A6ED01}"/>
    <hyperlink ref="B34" location="'Tasa Imp.'!A1" display="Tasa Impositiva Implícita" xr:uid="{6830F8D8-42E2-4223-AB2E-E68C979394DB}"/>
    <hyperlink ref="B35" location="FBK!A1" display="Consumo Final" xr:uid="{EED6F759-3B9F-4A2B-9E53-822202DD80D1}"/>
    <hyperlink ref="B36" location="FBK!A1" display="Formación Bruta de Capital" xr:uid="{86AA38AD-5B4E-4969-93E0-C2D980471CE6}"/>
    <hyperlink ref="B12" location="ARG!A1" display="Argentina" xr:uid="{6072B421-8F24-4FD9-9AE4-380A3FC1C361}"/>
    <hyperlink ref="B13" location="BRA!A1" display="Brasil" xr:uid="{37B6A613-2E95-417C-A8DE-55386B88C93C}"/>
    <hyperlink ref="B14" location="CHL!A1" display="Chile" xr:uid="{F3A64E4F-5D1E-4D8D-B704-65D824C95D58}"/>
    <hyperlink ref="B15" location="COL!A1" display="Colombia" xr:uid="{43AB198B-8B66-4366-BD2E-4C3A50ADF987}"/>
    <hyperlink ref="B16" location="CRI!A1" display="Costa Rica" xr:uid="{673AE771-EE1D-458D-93B9-75A55BE6DC8A}"/>
    <hyperlink ref="B17" location="DOM!A1" display="República Dominicana" xr:uid="{28482F0F-6243-4C1C-87CA-F8CB7D3BAFAF}"/>
    <hyperlink ref="B18" location="ECU!A1" display="Ecuador" xr:uid="{4E9C92CC-975C-4BB7-A2AB-29FB1D098608}"/>
    <hyperlink ref="B19" location="GTM!A1" display="Guatemala" xr:uid="{2B117E50-C37B-46DB-8582-A0EC15E5F1DA}"/>
    <hyperlink ref="B20" location="HND!A1" display="Honduras" xr:uid="{A40632F4-B737-4DDC-BF18-3316002F09DF}"/>
    <hyperlink ref="B21" location="NIC!A1" display="Nicaragua" xr:uid="{D1DCD584-034D-4143-9280-EB33B8D67365}"/>
    <hyperlink ref="B22" location="PAN!A1" display="Panamá" xr:uid="{EDE1535C-3F23-4CF3-9F1A-E975F0DCEE72}"/>
    <hyperlink ref="B23" location="PER!A1" display="Perú" xr:uid="{7C837204-FEEB-415D-B821-B56328A5AB1F}"/>
    <hyperlink ref="B24" location="SLV!A1" display="El Salvador" xr:uid="{884E9A1E-3468-4690-AFD9-A3959FE2643C}"/>
  </hyperlinks>
  <pageMargins left="0.7" right="0.7" top="0.75" bottom="0.75" header="0.3" footer="0.3"/>
  <pageSetup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82F3-4C0F-4203-BABC-7087275F6869}">
  <sheetPr>
    <pageSetUpPr fitToPage="1"/>
  </sheetPr>
  <dimension ref="A1:R47"/>
  <sheetViews>
    <sheetView topLeftCell="B5" zoomScale="70" zoomScaleNormal="70" workbookViewId="0">
      <selection activeCell="E15" sqref="E15"/>
    </sheetView>
  </sheetViews>
  <sheetFormatPr defaultRowHeight="15" x14ac:dyDescent="0.25"/>
  <cols>
    <col min="1" max="1" width="19.7109375" bestFit="1" customWidth="1"/>
    <col min="2" max="2" width="30.42578125" customWidth="1"/>
    <col min="3" max="3" width="22.28515625" bestFit="1" customWidth="1"/>
    <col min="4" max="11" width="15.7109375" customWidth="1"/>
    <col min="12" max="12" width="17.140625" customWidth="1"/>
    <col min="13" max="17" width="15.7109375" customWidth="1"/>
    <col min="18" max="19" width="17.7109375" customWidth="1"/>
  </cols>
  <sheetData>
    <row r="1" spans="1:18" x14ac:dyDescent="0.25">
      <c r="A1" s="3" t="s">
        <v>42</v>
      </c>
      <c r="K1" s="28" t="s">
        <v>122</v>
      </c>
    </row>
    <row r="2" spans="1:18" x14ac:dyDescent="0.25">
      <c r="A2" s="3" t="s">
        <v>118</v>
      </c>
    </row>
    <row r="3" spans="1:18" x14ac:dyDescent="0.25">
      <c r="A3" s="3" t="s">
        <v>64</v>
      </c>
    </row>
    <row r="4" spans="1:18" x14ac:dyDescent="0.25">
      <c r="A4" s="3" t="s">
        <v>41</v>
      </c>
    </row>
    <row r="5" spans="1:18" x14ac:dyDescent="0.25">
      <c r="A5" s="3" t="s">
        <v>43</v>
      </c>
    </row>
    <row r="6" spans="1:18" x14ac:dyDescent="0.25">
      <c r="A6" s="27" t="s">
        <v>103</v>
      </c>
    </row>
    <row r="8" spans="1:18" ht="75" x14ac:dyDescent="0.25">
      <c r="A8" s="1"/>
      <c r="B8" s="1"/>
      <c r="C8" s="1"/>
      <c r="D8" s="9" t="s">
        <v>1</v>
      </c>
      <c r="E8" s="9"/>
      <c r="F8" s="9"/>
      <c r="G8" s="9"/>
      <c r="H8" s="9"/>
      <c r="I8" s="9"/>
      <c r="J8" s="9"/>
      <c r="K8" s="9"/>
      <c r="L8" s="9" t="s">
        <v>2</v>
      </c>
      <c r="M8" s="9" t="s">
        <v>3</v>
      </c>
      <c r="N8" s="9" t="s">
        <v>4</v>
      </c>
      <c r="O8" s="9" t="s">
        <v>5</v>
      </c>
      <c r="P8" s="9" t="s">
        <v>6</v>
      </c>
      <c r="Q8" s="9" t="s">
        <v>7</v>
      </c>
      <c r="R8" s="9"/>
    </row>
    <row r="9" spans="1:18" x14ac:dyDescent="0.25">
      <c r="A9" s="1"/>
      <c r="B9" s="1"/>
      <c r="C9" s="1"/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/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9"/>
    </row>
    <row r="10" spans="1:18" ht="60" x14ac:dyDescent="0.25">
      <c r="A10" s="2" t="s">
        <v>16</v>
      </c>
      <c r="B10" s="2"/>
      <c r="C10" s="2" t="s">
        <v>18</v>
      </c>
      <c r="D10" s="6" t="s">
        <v>19</v>
      </c>
      <c r="E10" s="6" t="s">
        <v>20</v>
      </c>
      <c r="F10" s="6" t="s">
        <v>21</v>
      </c>
      <c r="G10" s="6" t="s">
        <v>22</v>
      </c>
      <c r="H10" s="6" t="s">
        <v>23</v>
      </c>
      <c r="I10" s="6" t="s">
        <v>24</v>
      </c>
      <c r="J10" s="6" t="s">
        <v>25</v>
      </c>
      <c r="K10" s="9" t="s">
        <v>87</v>
      </c>
      <c r="L10" s="6" t="s">
        <v>15</v>
      </c>
      <c r="M10" s="6" t="s">
        <v>15</v>
      </c>
      <c r="N10" s="6" t="s">
        <v>15</v>
      </c>
      <c r="O10" s="6" t="s">
        <v>15</v>
      </c>
      <c r="P10" s="6" t="s">
        <v>15</v>
      </c>
      <c r="Q10" s="6" t="s">
        <v>15</v>
      </c>
      <c r="R10" s="2"/>
    </row>
    <row r="11" spans="1:18" x14ac:dyDescent="0.25">
      <c r="A11" s="3" t="s">
        <v>26</v>
      </c>
      <c r="B11" s="3" t="s">
        <v>27</v>
      </c>
      <c r="C11" t="s">
        <v>28</v>
      </c>
      <c r="D11" s="10">
        <v>1396577734.7603993</v>
      </c>
      <c r="E11" s="10">
        <v>81888147.311360493</v>
      </c>
      <c r="F11" s="10">
        <v>2335641693.738472</v>
      </c>
      <c r="G11" s="10">
        <v>0</v>
      </c>
      <c r="H11" s="10">
        <v>0</v>
      </c>
      <c r="I11" s="10">
        <v>4619057.6061763652</v>
      </c>
      <c r="J11" s="10">
        <v>668054.89162762498</v>
      </c>
      <c r="K11" s="10">
        <f>SUM(D11:J11)</f>
        <v>3819394688.3080363</v>
      </c>
      <c r="L11" s="10">
        <v>146506507.65740022</v>
      </c>
      <c r="M11" s="10">
        <v>0</v>
      </c>
      <c r="N11" s="10">
        <v>679288662.53473175</v>
      </c>
      <c r="O11" s="10">
        <v>1101686287.9360921</v>
      </c>
      <c r="P11" s="10"/>
      <c r="Q11" s="10"/>
      <c r="R11" s="10">
        <v>5746876146.4362602</v>
      </c>
    </row>
    <row r="12" spans="1:18" x14ac:dyDescent="0.25">
      <c r="A12" s="3"/>
      <c r="B12" s="3"/>
      <c r="C12" t="s">
        <v>29</v>
      </c>
      <c r="D12" s="10">
        <v>0</v>
      </c>
      <c r="E12" s="10">
        <v>0</v>
      </c>
      <c r="F12" s="10">
        <v>1048936715.6483314</v>
      </c>
      <c r="G12" s="10">
        <v>13918155.648789501</v>
      </c>
      <c r="H12" s="10">
        <v>0</v>
      </c>
      <c r="I12" s="10">
        <v>0</v>
      </c>
      <c r="J12" s="10">
        <v>43583913.896661498</v>
      </c>
      <c r="K12" s="10">
        <f t="shared" ref="K12:K25" si="0">SUM(D12:J12)</f>
        <v>1106438785.1937823</v>
      </c>
      <c r="L12" s="10">
        <v>361208314.69887459</v>
      </c>
      <c r="M12" s="10">
        <v>0</v>
      </c>
      <c r="N12" s="10">
        <v>196031428.86719888</v>
      </c>
      <c r="O12" s="10">
        <v>511788912.07826442</v>
      </c>
      <c r="P12" s="10"/>
      <c r="Q12" s="10"/>
      <c r="R12" s="10">
        <v>2175467440.83812</v>
      </c>
    </row>
    <row r="13" spans="1:18" x14ac:dyDescent="0.25">
      <c r="A13" s="3"/>
      <c r="B13" s="3"/>
      <c r="C13" t="s">
        <v>30</v>
      </c>
      <c r="D13" s="10">
        <v>23146937.350540299</v>
      </c>
      <c r="E13" s="10">
        <v>969205179.13282812</v>
      </c>
      <c r="F13" s="10">
        <v>2992906662.9549494</v>
      </c>
      <c r="G13" s="10">
        <v>812688881.7170738</v>
      </c>
      <c r="H13" s="10">
        <v>1115093813.9849701</v>
      </c>
      <c r="I13" s="10">
        <v>3084564909.7902107</v>
      </c>
      <c r="J13" s="10">
        <v>10005864181.258062</v>
      </c>
      <c r="K13" s="10">
        <f t="shared" si="0"/>
        <v>19003470566.188637</v>
      </c>
      <c r="L13" s="10">
        <v>1951621049.3773232</v>
      </c>
      <c r="M13" s="10">
        <v>-82747540.978090495</v>
      </c>
      <c r="N13" s="10">
        <v>1391366994.0883088</v>
      </c>
      <c r="O13" s="10">
        <v>-1613475199.2057147</v>
      </c>
      <c r="P13" s="10"/>
      <c r="Q13" s="10"/>
      <c r="R13" s="10">
        <v>20650235869.470463</v>
      </c>
    </row>
    <row r="14" spans="1:18" x14ac:dyDescent="0.25">
      <c r="A14" s="3"/>
      <c r="B14" s="25" t="s">
        <v>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f t="shared" si="0"/>
        <v>0</v>
      </c>
      <c r="L14" s="10">
        <v>-82747540.978090495</v>
      </c>
      <c r="M14" s="10">
        <v>82747540.978090495</v>
      </c>
      <c r="N14" s="10">
        <v>0</v>
      </c>
      <c r="O14" s="10">
        <v>0</v>
      </c>
      <c r="P14" s="10"/>
      <c r="Q14" s="10"/>
      <c r="R14" s="10">
        <v>0</v>
      </c>
    </row>
    <row r="15" spans="1:18" ht="30" x14ac:dyDescent="0.25">
      <c r="A15" s="3"/>
      <c r="B15" s="25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f t="shared" si="0"/>
        <v>0</v>
      </c>
      <c r="L15" s="10">
        <v>30627373.460763</v>
      </c>
      <c r="M15" s="10">
        <v>0</v>
      </c>
      <c r="N15" s="10">
        <v>0</v>
      </c>
      <c r="O15" s="10">
        <v>0</v>
      </c>
      <c r="P15" s="10"/>
      <c r="Q15" s="10"/>
      <c r="R15" s="10">
        <v>30627373.460763</v>
      </c>
    </row>
    <row r="16" spans="1:18" ht="30" x14ac:dyDescent="0.25">
      <c r="A16" s="3"/>
      <c r="B16" s="25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f t="shared" si="0"/>
        <v>0</v>
      </c>
      <c r="L16" s="10">
        <v>0</v>
      </c>
      <c r="M16" s="10">
        <v>0</v>
      </c>
      <c r="N16" s="10">
        <v>0</v>
      </c>
      <c r="O16" s="10">
        <v>0</v>
      </c>
      <c r="P16" s="10"/>
      <c r="Q16" s="10"/>
      <c r="R16" s="10">
        <v>0</v>
      </c>
    </row>
    <row r="17" spans="1:18" x14ac:dyDescent="0.25">
      <c r="A17" s="5" t="s">
        <v>68</v>
      </c>
      <c r="B17" s="5"/>
      <c r="C17" s="5"/>
      <c r="D17" s="11">
        <v>1419724672.1109395</v>
      </c>
      <c r="E17" s="11">
        <v>1051093326.4441886</v>
      </c>
      <c r="F17" s="11">
        <v>6377485072.341754</v>
      </c>
      <c r="G17" s="11">
        <v>826607037.3658632</v>
      </c>
      <c r="H17" s="11">
        <v>1115093813.9849701</v>
      </c>
      <c r="I17" s="11">
        <v>3089183967.3963866</v>
      </c>
      <c r="J17" s="11">
        <v>10050116150.046352</v>
      </c>
      <c r="K17" s="11">
        <f t="shared" si="0"/>
        <v>23929304039.690453</v>
      </c>
      <c r="L17" s="11">
        <f>SUM(L11:L13)</f>
        <v>2459335871.7335978</v>
      </c>
      <c r="M17" s="11">
        <v>0</v>
      </c>
      <c r="N17" s="11">
        <v>2266687085.4902391</v>
      </c>
      <c r="O17" s="11">
        <v>0.80864191055297852</v>
      </c>
      <c r="P17" s="11"/>
      <c r="Q17" s="11"/>
      <c r="R17" s="11">
        <v>28603206830.205605</v>
      </c>
    </row>
    <row r="18" spans="1:18" x14ac:dyDescent="0.25">
      <c r="A18" s="3" t="s">
        <v>32</v>
      </c>
      <c r="B18" s="3" t="s">
        <v>33</v>
      </c>
      <c r="C18" t="s">
        <v>28</v>
      </c>
      <c r="D18" s="10">
        <v>316841674.90106666</v>
      </c>
      <c r="E18" s="10">
        <v>2014101.1061078042</v>
      </c>
      <c r="F18" s="10">
        <v>1224096650.7288656</v>
      </c>
      <c r="G18" s="10">
        <v>16589.700226841069</v>
      </c>
      <c r="H18" s="10">
        <v>9838191.6197834164</v>
      </c>
      <c r="I18" s="10">
        <v>39880842.192137986</v>
      </c>
      <c r="J18" s="10">
        <v>388142909.76968652</v>
      </c>
      <c r="K18" s="10">
        <f t="shared" si="0"/>
        <v>1980830960.0178747</v>
      </c>
      <c r="L18" s="10">
        <v>974634032.75777972</v>
      </c>
      <c r="M18" s="10"/>
      <c r="N18" s="10"/>
      <c r="O18" s="10"/>
      <c r="P18" s="10">
        <v>2551615246.5584073</v>
      </c>
      <c r="Q18" s="10">
        <v>239795909.62702248</v>
      </c>
      <c r="R18" s="10">
        <v>5746876148.9610844</v>
      </c>
    </row>
    <row r="19" spans="1:18" x14ac:dyDescent="0.25">
      <c r="A19" s="3"/>
      <c r="B19" s="3"/>
      <c r="C19" t="s">
        <v>29</v>
      </c>
      <c r="D19" s="10">
        <v>137619518.93717262</v>
      </c>
      <c r="E19" s="10">
        <v>16814984.409383822</v>
      </c>
      <c r="F19" s="10">
        <v>467108008.2858336</v>
      </c>
      <c r="G19" s="10">
        <v>7029768.4764993228</v>
      </c>
      <c r="H19" s="10">
        <v>9572929.2654972095</v>
      </c>
      <c r="I19" s="10">
        <v>52218591.799828112</v>
      </c>
      <c r="J19" s="10">
        <v>253161636.20388642</v>
      </c>
      <c r="K19" s="10">
        <f t="shared" si="0"/>
        <v>943525437.37810099</v>
      </c>
      <c r="L19" s="10">
        <v>154573995.81990689</v>
      </c>
      <c r="M19" s="10"/>
      <c r="N19" s="10"/>
      <c r="O19" s="10"/>
      <c r="P19" s="10">
        <v>919948282.40782416</v>
      </c>
      <c r="Q19" s="10">
        <v>157419725.64377567</v>
      </c>
      <c r="R19" s="10">
        <v>2175467441.2496076</v>
      </c>
    </row>
    <row r="20" spans="1:18" x14ac:dyDescent="0.25">
      <c r="A20" s="3"/>
      <c r="B20" s="3"/>
      <c r="C20" t="s">
        <v>30</v>
      </c>
      <c r="D20" s="10">
        <v>351079292.2097612</v>
      </c>
      <c r="E20" s="10">
        <v>411697645.38971603</v>
      </c>
      <c r="F20" s="10">
        <v>2613138887.4675083</v>
      </c>
      <c r="G20" s="10">
        <v>479750538.3994987</v>
      </c>
      <c r="H20" s="10">
        <v>506471263.12106532</v>
      </c>
      <c r="I20" s="10">
        <v>817081479.46392095</v>
      </c>
      <c r="J20" s="10">
        <v>3347604944.4674225</v>
      </c>
      <c r="K20" s="10">
        <f t="shared" si="0"/>
        <v>8526824050.5188923</v>
      </c>
      <c r="L20" s="10">
        <v>959076509.93680263</v>
      </c>
      <c r="M20" s="10"/>
      <c r="N20" s="10"/>
      <c r="O20" s="10"/>
      <c r="P20" s="10">
        <v>9111865049.4922485</v>
      </c>
      <c r="Q20" s="10">
        <v>2052470256.4396365</v>
      </c>
      <c r="R20" s="10">
        <v>20650235866.387581</v>
      </c>
    </row>
    <row r="21" spans="1:18" x14ac:dyDescent="0.25">
      <c r="A21" s="3"/>
      <c r="B21" s="3" t="s">
        <v>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f t="shared" si="0"/>
        <v>0</v>
      </c>
      <c r="L21" s="10">
        <v>0</v>
      </c>
      <c r="M21" s="10"/>
      <c r="N21" s="10"/>
      <c r="O21" s="10"/>
      <c r="P21" s="10">
        <v>0</v>
      </c>
      <c r="Q21" s="10">
        <v>0</v>
      </c>
      <c r="R21" s="10">
        <v>0</v>
      </c>
    </row>
    <row r="22" spans="1:18" ht="30" x14ac:dyDescent="0.25">
      <c r="A22" s="3"/>
      <c r="B22" s="25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f t="shared" si="0"/>
        <v>0</v>
      </c>
      <c r="L22" s="10">
        <v>0</v>
      </c>
      <c r="M22" s="10"/>
      <c r="N22" s="10"/>
      <c r="O22" s="10"/>
      <c r="P22" s="10">
        <v>30627373.460763</v>
      </c>
      <c r="Q22" s="10">
        <v>0</v>
      </c>
      <c r="R22" s="10">
        <v>30627373.460763</v>
      </c>
    </row>
    <row r="23" spans="1:18" ht="30" x14ac:dyDescent="0.25">
      <c r="A23" s="3"/>
      <c r="B23" s="25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f t="shared" si="0"/>
        <v>0</v>
      </c>
      <c r="L23" s="10">
        <v>40377443.405339397</v>
      </c>
      <c r="M23" s="10"/>
      <c r="N23" s="10"/>
      <c r="O23" s="10"/>
      <c r="P23" s="10">
        <v>-40377443.405339397</v>
      </c>
      <c r="Q23" s="10">
        <v>0</v>
      </c>
      <c r="R23" s="10">
        <v>0</v>
      </c>
    </row>
    <row r="24" spans="1:18" x14ac:dyDescent="0.25">
      <c r="A24" s="5" t="s">
        <v>70</v>
      </c>
      <c r="B24" s="5"/>
      <c r="C24" s="5"/>
      <c r="D24" s="11">
        <v>805540486.04800057</v>
      </c>
      <c r="E24" s="11">
        <v>430526730.90520763</v>
      </c>
      <c r="F24" s="11">
        <v>4304343546.4822073</v>
      </c>
      <c r="G24" s="11">
        <v>486796896.57622486</v>
      </c>
      <c r="H24" s="11">
        <v>525882384.00634593</v>
      </c>
      <c r="I24" s="11">
        <v>909180913.45588708</v>
      </c>
      <c r="J24" s="11">
        <v>3988909490.4409952</v>
      </c>
      <c r="K24" s="11">
        <f t="shared" si="0"/>
        <v>11451180447.914867</v>
      </c>
      <c r="L24" s="11">
        <v>2128661981.9198287</v>
      </c>
      <c r="M24" s="11"/>
      <c r="N24" s="11"/>
      <c r="O24" s="11"/>
      <c r="P24" s="11">
        <v>12573678508.513905</v>
      </c>
      <c r="Q24" s="11">
        <v>2449685891.7104344</v>
      </c>
      <c r="R24" s="11">
        <v>28603206830.059036</v>
      </c>
    </row>
    <row r="25" spans="1:18" x14ac:dyDescent="0.25">
      <c r="A25" s="5" t="s">
        <v>35</v>
      </c>
      <c r="B25" s="5"/>
      <c r="C25" s="5"/>
      <c r="D25" s="11">
        <v>614184186.06293869</v>
      </c>
      <c r="E25" s="11">
        <v>620566595.53898072</v>
      </c>
      <c r="F25" s="11">
        <v>2073141525.8595409</v>
      </c>
      <c r="G25" s="11">
        <v>339810140.78963768</v>
      </c>
      <c r="H25" s="11">
        <v>589211429.97862399</v>
      </c>
      <c r="I25" s="11">
        <v>2180003053.9405012</v>
      </c>
      <c r="J25" s="11">
        <v>6061206659.6053553</v>
      </c>
      <c r="K25" s="11">
        <f t="shared" si="0"/>
        <v>12478123591.775578</v>
      </c>
      <c r="L25" s="11"/>
      <c r="M25" s="11"/>
      <c r="N25" s="11"/>
      <c r="O25" s="11"/>
      <c r="P25" s="11"/>
      <c r="Q25" s="11"/>
      <c r="R25" s="11">
        <v>12478123591.775578</v>
      </c>
    </row>
    <row r="36" spans="1:16" hidden="1" x14ac:dyDescent="0.25">
      <c r="A36" s="3" t="s">
        <v>88</v>
      </c>
    </row>
    <row r="37" spans="1:16" hidden="1" x14ac:dyDescent="0.25"/>
    <row r="38" spans="1:16" hidden="1" x14ac:dyDescent="0.25">
      <c r="B38" s="3" t="s">
        <v>27</v>
      </c>
      <c r="C38" t="s">
        <v>28</v>
      </c>
      <c r="D38" s="13">
        <f t="shared" ref="D38:L38" si="1">D11/D$17</f>
        <v>0.98369617869912496</v>
      </c>
      <c r="E38" s="13">
        <f t="shared" si="1"/>
        <v>7.790758941300216E-2</v>
      </c>
      <c r="F38" s="13">
        <f t="shared" si="1"/>
        <v>0.36623240466180279</v>
      </c>
      <c r="G38" s="13">
        <f t="shared" si="1"/>
        <v>0</v>
      </c>
      <c r="H38" s="13">
        <f t="shared" si="1"/>
        <v>0</v>
      </c>
      <c r="I38" s="13">
        <f t="shared" si="1"/>
        <v>1.4952355233376988E-3</v>
      </c>
      <c r="J38" s="13">
        <f t="shared" si="1"/>
        <v>6.6472355309499958E-5</v>
      </c>
      <c r="K38" s="13">
        <f t="shared" si="1"/>
        <v>0.15961160767454746</v>
      </c>
      <c r="L38" s="13">
        <f t="shared" si="1"/>
        <v>5.9571573505381788E-2</v>
      </c>
      <c r="M38" s="13"/>
      <c r="N38" s="13">
        <f>N11/N$17</f>
        <v>0.29968347500767412</v>
      </c>
      <c r="P38" s="13"/>
    </row>
    <row r="39" spans="1:16" hidden="1" x14ac:dyDescent="0.25">
      <c r="B39" s="3"/>
      <c r="C39" t="s">
        <v>29</v>
      </c>
      <c r="D39" s="13">
        <f t="shared" ref="D39:L39" si="2">D12/D$17</f>
        <v>0</v>
      </c>
      <c r="E39" s="13">
        <f t="shared" si="2"/>
        <v>0</v>
      </c>
      <c r="F39" s="13">
        <f t="shared" si="2"/>
        <v>0.16447497779295805</v>
      </c>
      <c r="G39" s="13">
        <f t="shared" si="2"/>
        <v>1.6837693147571411E-2</v>
      </c>
      <c r="H39" s="13">
        <f t="shared" si="2"/>
        <v>0</v>
      </c>
      <c r="I39" s="13">
        <f t="shared" si="2"/>
        <v>0</v>
      </c>
      <c r="J39" s="13">
        <f t="shared" si="2"/>
        <v>4.3366577307129414E-3</v>
      </c>
      <c r="K39" s="13">
        <f t="shared" si="2"/>
        <v>4.6237817170051515E-2</v>
      </c>
      <c r="L39" s="13">
        <f t="shared" si="2"/>
        <v>0.14687229948964112</v>
      </c>
      <c r="M39" s="13"/>
      <c r="N39" s="13">
        <f>N12/N$17</f>
        <v>8.6483674840720767E-2</v>
      </c>
      <c r="P39" s="13"/>
    </row>
    <row r="40" spans="1:16" hidden="1" x14ac:dyDescent="0.25">
      <c r="B40" s="3"/>
      <c r="C40" t="s">
        <v>30</v>
      </c>
      <c r="D40" s="13">
        <f t="shared" ref="D40:L40" si="3">D13/D$17</f>
        <v>1.6303821300875133E-2</v>
      </c>
      <c r="E40" s="13">
        <f t="shared" si="3"/>
        <v>0.92209241058699787</v>
      </c>
      <c r="F40" s="13">
        <f t="shared" si="3"/>
        <v>0.46929261754523899</v>
      </c>
      <c r="G40" s="13">
        <f t="shared" si="3"/>
        <v>0.98316230685242867</v>
      </c>
      <c r="H40" s="13">
        <f t="shared" si="3"/>
        <v>1</v>
      </c>
      <c r="I40" s="13">
        <f t="shared" si="3"/>
        <v>0.99850476447666248</v>
      </c>
      <c r="J40" s="13">
        <f t="shared" si="3"/>
        <v>0.99559686991397744</v>
      </c>
      <c r="K40" s="13">
        <f t="shared" si="3"/>
        <v>0.79415057515540111</v>
      </c>
      <c r="L40" s="13">
        <f t="shared" si="3"/>
        <v>0.79355612700497713</v>
      </c>
      <c r="M40" s="13"/>
      <c r="N40" s="13">
        <f>N13/N$17</f>
        <v>0.61383285015160527</v>
      </c>
      <c r="P40" s="13"/>
    </row>
    <row r="41" spans="1:16" hidden="1" x14ac:dyDescent="0.25">
      <c r="B41" s="25"/>
    </row>
    <row r="42" spans="1:16" hidden="1" x14ac:dyDescent="0.25">
      <c r="B42" s="25"/>
    </row>
    <row r="43" spans="1:16" hidden="1" x14ac:dyDescent="0.25">
      <c r="B43" s="25"/>
    </row>
    <row r="44" spans="1:16" hidden="1" x14ac:dyDescent="0.25">
      <c r="B44" s="3"/>
      <c r="C44" s="3"/>
    </row>
    <row r="45" spans="1:16" hidden="1" x14ac:dyDescent="0.25">
      <c r="B45" s="3" t="s">
        <v>33</v>
      </c>
      <c r="C45" t="s">
        <v>28</v>
      </c>
      <c r="D45" s="13">
        <f t="shared" ref="D45:L45" si="4">D18/D$24</f>
        <v>0.39332805785529035</v>
      </c>
      <c r="E45" s="13">
        <f t="shared" si="4"/>
        <v>4.6782254422926047E-3</v>
      </c>
      <c r="F45" s="13">
        <f t="shared" si="4"/>
        <v>0.2843863733249819</v>
      </c>
      <c r="G45" s="13">
        <f t="shared" si="4"/>
        <v>3.4079305647839886E-5</v>
      </c>
      <c r="H45" s="13">
        <f t="shared" si="4"/>
        <v>1.870796953652035E-2</v>
      </c>
      <c r="I45" s="13">
        <f t="shared" si="4"/>
        <v>4.386458360695996E-2</v>
      </c>
      <c r="J45" s="13">
        <f t="shared" si="4"/>
        <v>9.7305519390658138E-2</v>
      </c>
      <c r="K45" s="13">
        <f t="shared" si="4"/>
        <v>0.17298050354088709</v>
      </c>
      <c r="L45" s="13">
        <f t="shared" si="4"/>
        <v>0.4578622820513582</v>
      </c>
      <c r="M45" s="13"/>
      <c r="N45" s="13"/>
      <c r="P45" s="13">
        <f>P18/P$24</f>
        <v>0.20293307521984552</v>
      </c>
    </row>
    <row r="46" spans="1:16" hidden="1" x14ac:dyDescent="0.25">
      <c r="B46" s="3"/>
      <c r="C46" t="s">
        <v>29</v>
      </c>
      <c r="D46" s="13">
        <f t="shared" ref="D46:L46" si="5">D19/D$24</f>
        <v>0.17084121943061736</v>
      </c>
      <c r="E46" s="13">
        <f t="shared" si="5"/>
        <v>3.9056772094102805E-2</v>
      </c>
      <c r="F46" s="13">
        <f t="shared" si="5"/>
        <v>0.10852015022536596</v>
      </c>
      <c r="G46" s="13">
        <f t="shared" si="5"/>
        <v>1.4440865432671405E-2</v>
      </c>
      <c r="H46" s="13">
        <f t="shared" si="5"/>
        <v>1.8203555693513573E-2</v>
      </c>
      <c r="I46" s="13">
        <f t="shared" si="5"/>
        <v>5.7434764662337719E-2</v>
      </c>
      <c r="J46" s="13">
        <f t="shared" si="5"/>
        <v>6.3466377668022253E-2</v>
      </c>
      <c r="K46" s="13">
        <f t="shared" si="5"/>
        <v>8.2395473695457008E-2</v>
      </c>
      <c r="L46" s="13">
        <f t="shared" si="5"/>
        <v>7.261556655439369E-2</v>
      </c>
      <c r="M46" s="13"/>
      <c r="N46" s="13"/>
      <c r="P46" s="13">
        <f>P19/P$24</f>
        <v>7.316460984626795E-2</v>
      </c>
    </row>
    <row r="47" spans="1:16" hidden="1" x14ac:dyDescent="0.25">
      <c r="B47" s="3"/>
      <c r="C47" t="s">
        <v>30</v>
      </c>
      <c r="D47" s="13">
        <f t="shared" ref="D47:L47" si="6">D20/D$24</f>
        <v>0.43583072271409223</v>
      </c>
      <c r="E47" s="13">
        <f t="shared" si="6"/>
        <v>0.95626500246360469</v>
      </c>
      <c r="F47" s="13">
        <f t="shared" si="6"/>
        <v>0.60709347644965217</v>
      </c>
      <c r="G47" s="13">
        <f t="shared" si="6"/>
        <v>0.98552505526168077</v>
      </c>
      <c r="H47" s="13">
        <f t="shared" si="6"/>
        <v>0.96308847476996606</v>
      </c>
      <c r="I47" s="13">
        <f t="shared" si="6"/>
        <v>0.89870065173070224</v>
      </c>
      <c r="J47" s="13">
        <f t="shared" si="6"/>
        <v>0.83922810294131966</v>
      </c>
      <c r="K47" s="13">
        <f t="shared" si="6"/>
        <v>0.74462402276365591</v>
      </c>
      <c r="L47" s="13">
        <f t="shared" si="6"/>
        <v>0.45055368963362458</v>
      </c>
      <c r="M47" s="13"/>
      <c r="N47" s="13"/>
      <c r="P47" s="13">
        <f>P20/P$24</f>
        <v>0.72467774989812339</v>
      </c>
    </row>
  </sheetData>
  <hyperlinks>
    <hyperlink ref="K1" location="Contenido!A1" display="Contenido" xr:uid="{8BA63743-3F86-4FBB-B7D6-54A43B8D05C0}"/>
  </hyperlinks>
  <pageMargins left="0.7" right="0.7" top="0.75" bottom="0.75" header="0.3" footer="0.3"/>
  <pageSetup scale="3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390F-72FB-4327-84EE-E00D9CE59DA4}">
  <sheetPr>
    <pageSetUpPr fitToPage="1"/>
  </sheetPr>
  <dimension ref="A1:Q35"/>
  <sheetViews>
    <sheetView workbookViewId="0">
      <selection activeCell="B12" sqref="B12"/>
    </sheetView>
  </sheetViews>
  <sheetFormatPr defaultRowHeight="15" x14ac:dyDescent="0.25"/>
  <cols>
    <col min="1" max="1" width="19.7109375" bestFit="1" customWidth="1"/>
    <col min="2" max="2" width="20" bestFit="1" customWidth="1"/>
    <col min="3" max="3" width="22.28515625" bestFit="1" customWidth="1"/>
    <col min="4" max="17" width="15.7109375" customWidth="1"/>
  </cols>
  <sheetData>
    <row r="1" spans="1:17" x14ac:dyDescent="0.25">
      <c r="A1" s="22" t="s">
        <v>39</v>
      </c>
      <c r="K1" s="28" t="s">
        <v>122</v>
      </c>
    </row>
    <row r="2" spans="1:17" x14ac:dyDescent="0.25">
      <c r="A2" s="22" t="s">
        <v>118</v>
      </c>
    </row>
    <row r="3" spans="1:17" x14ac:dyDescent="0.25">
      <c r="A3" s="22" t="s">
        <v>64</v>
      </c>
    </row>
    <row r="4" spans="1:17" x14ac:dyDescent="0.25">
      <c r="A4" s="22" t="s">
        <v>41</v>
      </c>
    </row>
    <row r="5" spans="1:17" x14ac:dyDescent="0.25">
      <c r="A5" s="22" t="s">
        <v>40</v>
      </c>
    </row>
    <row r="6" spans="1:17" x14ac:dyDescent="0.25">
      <c r="A6" s="27" t="s">
        <v>103</v>
      </c>
    </row>
    <row r="8" spans="1:17" s="12" customFormat="1" ht="75" x14ac:dyDescent="0.25">
      <c r="A8" s="9"/>
      <c r="B8" s="9"/>
      <c r="C8" s="9"/>
      <c r="D8" s="9" t="s">
        <v>1</v>
      </c>
      <c r="E8" s="9"/>
      <c r="F8" s="9"/>
      <c r="G8" s="9"/>
      <c r="H8" s="9"/>
      <c r="I8" s="9"/>
      <c r="J8" s="9"/>
      <c r="K8" s="9"/>
      <c r="L8" s="9" t="s">
        <v>2</v>
      </c>
      <c r="M8" s="9" t="s">
        <v>4</v>
      </c>
      <c r="N8" s="9" t="s">
        <v>5</v>
      </c>
      <c r="O8" s="9" t="s">
        <v>6</v>
      </c>
      <c r="P8" s="9" t="s">
        <v>7</v>
      </c>
      <c r="Q8" s="9"/>
    </row>
    <row r="9" spans="1:17" x14ac:dyDescent="0.25">
      <c r="A9" s="1"/>
      <c r="B9" s="1"/>
      <c r="C9" s="1"/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/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9"/>
    </row>
    <row r="10" spans="1:17" s="12" customFormat="1" ht="60" x14ac:dyDescent="0.25">
      <c r="A10" s="2" t="s">
        <v>16</v>
      </c>
      <c r="B10" s="2"/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9" t="s">
        <v>87</v>
      </c>
      <c r="L10" s="2" t="s">
        <v>15</v>
      </c>
      <c r="M10" s="2" t="s">
        <v>15</v>
      </c>
      <c r="N10" s="2" t="s">
        <v>15</v>
      </c>
      <c r="O10" s="2" t="s">
        <v>15</v>
      </c>
      <c r="P10" s="2" t="s">
        <v>15</v>
      </c>
      <c r="Q10" s="2"/>
    </row>
    <row r="11" spans="1:17" x14ac:dyDescent="0.25">
      <c r="A11" s="3" t="s">
        <v>26</v>
      </c>
      <c r="B11" s="3" t="s">
        <v>27</v>
      </c>
      <c r="C11" t="s">
        <v>28</v>
      </c>
      <c r="D11" s="10">
        <v>578580</v>
      </c>
      <c r="E11" s="10">
        <v>172</v>
      </c>
      <c r="F11" s="10">
        <v>1116289</v>
      </c>
      <c r="G11" s="10">
        <v>0</v>
      </c>
      <c r="H11" s="10">
        <v>0</v>
      </c>
      <c r="I11" s="10">
        <v>46367</v>
      </c>
      <c r="J11" s="10">
        <v>1558</v>
      </c>
      <c r="K11" s="10">
        <f>SUM(D11:J11)</f>
        <v>1742966</v>
      </c>
      <c r="L11" s="10">
        <v>59460</v>
      </c>
      <c r="M11" s="10">
        <v>206116</v>
      </c>
      <c r="N11" s="10">
        <v>426129</v>
      </c>
      <c r="O11" s="10"/>
      <c r="P11" s="10"/>
      <c r="Q11" s="10">
        <v>2434671</v>
      </c>
    </row>
    <row r="12" spans="1:17" x14ac:dyDescent="0.25">
      <c r="A12" s="3"/>
      <c r="B12" s="3"/>
      <c r="C12" t="s">
        <v>29</v>
      </c>
      <c r="D12" s="10">
        <v>1942</v>
      </c>
      <c r="E12" s="10">
        <v>289</v>
      </c>
      <c r="F12" s="10">
        <v>561881</v>
      </c>
      <c r="G12" s="10">
        <v>81742</v>
      </c>
      <c r="H12" s="10">
        <v>26</v>
      </c>
      <c r="I12" s="10">
        <v>13440</v>
      </c>
      <c r="J12" s="10">
        <v>315886</v>
      </c>
      <c r="K12" s="10">
        <f t="shared" ref="K12:K19" si="0">SUM(D12:J12)</f>
        <v>975206</v>
      </c>
      <c r="L12" s="10">
        <v>167486</v>
      </c>
      <c r="M12" s="10">
        <v>164563</v>
      </c>
      <c r="N12" s="10">
        <v>248782</v>
      </c>
      <c r="O12" s="10"/>
      <c r="P12" s="10"/>
      <c r="Q12" s="10">
        <v>1556037</v>
      </c>
    </row>
    <row r="13" spans="1:17" x14ac:dyDescent="0.25">
      <c r="A13" s="3"/>
      <c r="B13" s="3"/>
      <c r="C13" t="s">
        <v>30</v>
      </c>
      <c r="D13" s="10">
        <v>7344</v>
      </c>
      <c r="E13" s="10">
        <v>356087</v>
      </c>
      <c r="F13" s="10">
        <v>1644029</v>
      </c>
      <c r="G13" s="10">
        <v>323617</v>
      </c>
      <c r="H13" s="10">
        <v>552047</v>
      </c>
      <c r="I13" s="10">
        <v>1235865</v>
      </c>
      <c r="J13" s="10">
        <v>5172849</v>
      </c>
      <c r="K13" s="10">
        <f t="shared" si="0"/>
        <v>9291838</v>
      </c>
      <c r="L13" s="10">
        <v>770528</v>
      </c>
      <c r="M13" s="10">
        <v>622312</v>
      </c>
      <c r="N13" s="10">
        <v>-674911</v>
      </c>
      <c r="O13" s="10"/>
      <c r="P13" s="10"/>
      <c r="Q13" s="10">
        <v>10009767</v>
      </c>
    </row>
    <row r="14" spans="1:17" x14ac:dyDescent="0.25">
      <c r="A14" s="5" t="s">
        <v>68</v>
      </c>
      <c r="B14" s="5"/>
      <c r="C14" s="5"/>
      <c r="D14" s="11">
        <v>587866</v>
      </c>
      <c r="E14" s="11">
        <v>356548</v>
      </c>
      <c r="F14" s="11">
        <v>3322199</v>
      </c>
      <c r="G14" s="11">
        <v>405359</v>
      </c>
      <c r="H14" s="11">
        <v>552073</v>
      </c>
      <c r="I14" s="11">
        <v>1295672</v>
      </c>
      <c r="J14" s="11">
        <v>5490293</v>
      </c>
      <c r="K14" s="11">
        <f t="shared" si="0"/>
        <v>12010010</v>
      </c>
      <c r="L14" s="11">
        <v>997474</v>
      </c>
      <c r="M14" s="11">
        <v>992991</v>
      </c>
      <c r="N14" s="11">
        <v>0</v>
      </c>
      <c r="O14" s="11"/>
      <c r="P14" s="11"/>
      <c r="Q14" s="11">
        <v>14000475</v>
      </c>
    </row>
    <row r="15" spans="1:17" x14ac:dyDescent="0.25">
      <c r="A15" s="3" t="s">
        <v>32</v>
      </c>
      <c r="B15" s="3" t="s">
        <v>33</v>
      </c>
      <c r="C15" t="s">
        <v>28</v>
      </c>
      <c r="D15" s="10">
        <v>49045</v>
      </c>
      <c r="E15" s="10">
        <v>10205</v>
      </c>
      <c r="F15" s="10">
        <v>573831</v>
      </c>
      <c r="G15" s="10">
        <v>4091</v>
      </c>
      <c r="H15" s="10">
        <v>15913</v>
      </c>
      <c r="I15" s="10">
        <v>41954</v>
      </c>
      <c r="J15" s="10">
        <v>247084</v>
      </c>
      <c r="K15" s="10">
        <f t="shared" si="0"/>
        <v>942123</v>
      </c>
      <c r="L15" s="10">
        <v>361386</v>
      </c>
      <c r="M15" s="10"/>
      <c r="N15" s="10"/>
      <c r="O15" s="10">
        <v>1117324</v>
      </c>
      <c r="P15" s="10">
        <v>13838</v>
      </c>
      <c r="Q15" s="10">
        <v>2434671</v>
      </c>
    </row>
    <row r="16" spans="1:17" x14ac:dyDescent="0.25">
      <c r="A16" s="3"/>
      <c r="B16" s="3"/>
      <c r="C16" t="s">
        <v>29</v>
      </c>
      <c r="D16" s="10">
        <v>17001</v>
      </c>
      <c r="E16" s="10">
        <v>15110</v>
      </c>
      <c r="F16" s="10">
        <v>394855</v>
      </c>
      <c r="G16" s="10">
        <v>3520</v>
      </c>
      <c r="H16" s="10">
        <v>2589</v>
      </c>
      <c r="I16" s="10">
        <v>25459</v>
      </c>
      <c r="J16" s="10">
        <v>172933</v>
      </c>
      <c r="K16" s="10">
        <f t="shared" si="0"/>
        <v>631467</v>
      </c>
      <c r="L16" s="10">
        <v>61012</v>
      </c>
      <c r="M16" s="10"/>
      <c r="N16" s="10"/>
      <c r="O16" s="10">
        <v>804983</v>
      </c>
      <c r="P16" s="10">
        <v>58575</v>
      </c>
      <c r="Q16" s="10">
        <v>1556037</v>
      </c>
    </row>
    <row r="17" spans="1:17" x14ac:dyDescent="0.25">
      <c r="A17" s="3"/>
      <c r="B17" s="3"/>
      <c r="C17" t="s">
        <v>30</v>
      </c>
      <c r="D17" s="10">
        <v>23683</v>
      </c>
      <c r="E17" s="10">
        <v>170164</v>
      </c>
      <c r="F17" s="10">
        <v>1804611</v>
      </c>
      <c r="G17" s="10">
        <v>226315</v>
      </c>
      <c r="H17" s="10">
        <v>290291</v>
      </c>
      <c r="I17" s="10">
        <v>445212</v>
      </c>
      <c r="J17" s="10">
        <v>1464994</v>
      </c>
      <c r="K17" s="10">
        <f t="shared" si="0"/>
        <v>4425270</v>
      </c>
      <c r="L17" s="10">
        <v>602658</v>
      </c>
      <c r="M17" s="10"/>
      <c r="N17" s="10"/>
      <c r="O17" s="10">
        <v>3996974</v>
      </c>
      <c r="P17" s="10">
        <v>984865</v>
      </c>
      <c r="Q17" s="10">
        <v>10009767</v>
      </c>
    </row>
    <row r="18" spans="1:17" x14ac:dyDescent="0.25">
      <c r="A18" s="5" t="s">
        <v>70</v>
      </c>
      <c r="B18" s="5"/>
      <c r="C18" s="5"/>
      <c r="D18" s="11">
        <v>89729</v>
      </c>
      <c r="E18" s="11">
        <v>195479</v>
      </c>
      <c r="F18" s="11">
        <v>2773297</v>
      </c>
      <c r="G18" s="11">
        <v>233926</v>
      </c>
      <c r="H18" s="11">
        <v>308793</v>
      </c>
      <c r="I18" s="11">
        <v>512625</v>
      </c>
      <c r="J18" s="11">
        <v>1885011</v>
      </c>
      <c r="K18" s="11">
        <f t="shared" si="0"/>
        <v>5998860</v>
      </c>
      <c r="L18" s="11">
        <v>1025056</v>
      </c>
      <c r="M18" s="11"/>
      <c r="N18" s="11"/>
      <c r="O18" s="11">
        <v>5919281</v>
      </c>
      <c r="P18" s="11">
        <v>1057278</v>
      </c>
      <c r="Q18" s="11">
        <v>14000475</v>
      </c>
    </row>
    <row r="19" spans="1:17" x14ac:dyDescent="0.25">
      <c r="A19" s="5" t="s">
        <v>35</v>
      </c>
      <c r="B19" s="5"/>
      <c r="C19" s="5"/>
      <c r="D19" s="11">
        <v>309611</v>
      </c>
      <c r="E19" s="11">
        <v>161069</v>
      </c>
      <c r="F19" s="11">
        <v>737428</v>
      </c>
      <c r="G19" s="11">
        <v>171433</v>
      </c>
      <c r="H19" s="11">
        <v>243280</v>
      </c>
      <c r="I19" s="11">
        <v>783047</v>
      </c>
      <c r="J19" s="11">
        <v>3605282</v>
      </c>
      <c r="K19" s="11">
        <f t="shared" si="0"/>
        <v>6011150</v>
      </c>
      <c r="L19" s="11"/>
      <c r="M19" s="11"/>
      <c r="N19" s="11"/>
      <c r="O19" s="11"/>
      <c r="P19" s="11"/>
      <c r="Q19" s="11">
        <v>6011150</v>
      </c>
    </row>
    <row r="29" spans="1:17" hidden="1" x14ac:dyDescent="0.25">
      <c r="B29" t="s">
        <v>27</v>
      </c>
      <c r="C29" t="s">
        <v>28</v>
      </c>
      <c r="D29" s="13">
        <f>D11/D$14</f>
        <v>0.98420388319787167</v>
      </c>
      <c r="E29" s="13">
        <f t="shared" ref="E29:M29" si="1">E11/E$14</f>
        <v>4.8240349125503438E-4</v>
      </c>
      <c r="F29" s="13">
        <f t="shared" si="1"/>
        <v>0.33600907110019601</v>
      </c>
      <c r="G29" s="13">
        <f t="shared" si="1"/>
        <v>0</v>
      </c>
      <c r="H29" s="13">
        <f t="shared" si="1"/>
        <v>0</v>
      </c>
      <c r="I29" s="13">
        <f t="shared" si="1"/>
        <v>3.5786063139436525E-2</v>
      </c>
      <c r="J29" s="13">
        <f t="shared" si="1"/>
        <v>2.8377356181172845E-4</v>
      </c>
      <c r="K29" s="13">
        <f t="shared" si="1"/>
        <v>0.14512610730548933</v>
      </c>
      <c r="L29" s="13">
        <f t="shared" si="1"/>
        <v>5.9610576315773642E-2</v>
      </c>
      <c r="M29" s="13">
        <f t="shared" si="1"/>
        <v>0.20757086418708728</v>
      </c>
      <c r="N29" s="13"/>
      <c r="O29" s="13"/>
    </row>
    <row r="30" spans="1:17" hidden="1" x14ac:dyDescent="0.25">
      <c r="C30" t="s">
        <v>29</v>
      </c>
      <c r="D30" s="13">
        <f t="shared" ref="D30:M30" si="2">D12/D$14</f>
        <v>3.3034739209275585E-3</v>
      </c>
      <c r="E30" s="13">
        <f t="shared" si="2"/>
        <v>8.1055005216688913E-4</v>
      </c>
      <c r="F30" s="13">
        <f t="shared" si="2"/>
        <v>0.16912924240841684</v>
      </c>
      <c r="G30" s="13">
        <f t="shared" si="2"/>
        <v>0.20165334925337788</v>
      </c>
      <c r="H30" s="13">
        <f t="shared" si="2"/>
        <v>4.7095221103006308E-5</v>
      </c>
      <c r="I30" s="13">
        <f t="shared" si="2"/>
        <v>1.0372995634697671E-2</v>
      </c>
      <c r="J30" s="13">
        <f t="shared" si="2"/>
        <v>5.7535362866790535E-2</v>
      </c>
      <c r="K30" s="13">
        <f t="shared" si="2"/>
        <v>8.119943280646727E-2</v>
      </c>
      <c r="L30" s="13">
        <f t="shared" si="2"/>
        <v>0.16791014101620694</v>
      </c>
      <c r="M30" s="13">
        <f t="shared" si="2"/>
        <v>0.16572456346532849</v>
      </c>
      <c r="N30" s="13"/>
      <c r="O30" s="13"/>
    </row>
    <row r="31" spans="1:17" hidden="1" x14ac:dyDescent="0.25">
      <c r="C31" t="s">
        <v>30</v>
      </c>
      <c r="D31" s="13">
        <f t="shared" ref="D31:M31" si="3">D13/D$14</f>
        <v>1.2492642881200817E-2</v>
      </c>
      <c r="E31" s="13">
        <f t="shared" si="3"/>
        <v>0.99870704645657804</v>
      </c>
      <c r="F31" s="13">
        <f t="shared" si="3"/>
        <v>0.49486168649138718</v>
      </c>
      <c r="G31" s="13">
        <f t="shared" si="3"/>
        <v>0.79834665074662214</v>
      </c>
      <c r="H31" s="13">
        <f t="shared" si="3"/>
        <v>0.99995290477889698</v>
      </c>
      <c r="I31" s="13">
        <f t="shared" si="3"/>
        <v>0.95384094122586582</v>
      </c>
      <c r="J31" s="13">
        <f t="shared" si="3"/>
        <v>0.94218086357139774</v>
      </c>
      <c r="K31" s="13">
        <f t="shared" si="3"/>
        <v>0.7736744598880434</v>
      </c>
      <c r="L31" s="13">
        <f t="shared" si="3"/>
        <v>0.77247928266801946</v>
      </c>
      <c r="M31" s="13">
        <f t="shared" si="3"/>
        <v>0.62670457234758425</v>
      </c>
      <c r="N31" s="13"/>
      <c r="O31" s="13"/>
    </row>
    <row r="32" spans="1:17" hidden="1" x14ac:dyDescent="0.25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spans="2:15" hidden="1" x14ac:dyDescent="0.25">
      <c r="B33" t="s">
        <v>33</v>
      </c>
      <c r="C33" t="s">
        <v>28</v>
      </c>
      <c r="D33" s="13">
        <f>D15/D$18</f>
        <v>0.54659028853547909</v>
      </c>
      <c r="E33" s="13">
        <f t="shared" ref="E33:O33" si="4">E15/E$18</f>
        <v>5.2205096199591773E-2</v>
      </c>
      <c r="F33" s="13">
        <f t="shared" si="4"/>
        <v>0.20691292710445366</v>
      </c>
      <c r="G33" s="13">
        <f t="shared" si="4"/>
        <v>1.7488436514111302E-2</v>
      </c>
      <c r="H33" s="13">
        <f t="shared" si="4"/>
        <v>5.1532903919454136E-2</v>
      </c>
      <c r="I33" s="13">
        <f t="shared" si="4"/>
        <v>8.1841502072665204E-2</v>
      </c>
      <c r="J33" s="13">
        <f t="shared" si="4"/>
        <v>0.13107828017979736</v>
      </c>
      <c r="K33" s="13">
        <f t="shared" si="4"/>
        <v>0.15705033956451725</v>
      </c>
      <c r="L33" s="13">
        <f t="shared" si="4"/>
        <v>0.35255244591515</v>
      </c>
      <c r="M33" s="13"/>
      <c r="N33" s="13"/>
      <c r="O33" s="13">
        <f t="shared" si="4"/>
        <v>0.18876008758496177</v>
      </c>
    </row>
    <row r="34" spans="2:15" hidden="1" x14ac:dyDescent="0.25">
      <c r="C34" t="s">
        <v>29</v>
      </c>
      <c r="D34" s="13">
        <f t="shared" ref="D34:O34" si="5">D16/D$18</f>
        <v>0.1894705167782991</v>
      </c>
      <c r="E34" s="13">
        <f t="shared" si="5"/>
        <v>7.7297305592928134E-2</v>
      </c>
      <c r="F34" s="13">
        <f t="shared" si="5"/>
        <v>0.14237746624324765</v>
      </c>
      <c r="G34" s="13">
        <f t="shared" si="5"/>
        <v>1.5047493651838616E-2</v>
      </c>
      <c r="H34" s="13">
        <f t="shared" si="5"/>
        <v>8.3842574151616125E-3</v>
      </c>
      <c r="I34" s="13">
        <f t="shared" si="5"/>
        <v>4.9663984394050231E-2</v>
      </c>
      <c r="J34" s="13">
        <f t="shared" si="5"/>
        <v>9.1741109203076265E-2</v>
      </c>
      <c r="K34" s="13">
        <f t="shared" si="5"/>
        <v>0.10526450025504847</v>
      </c>
      <c r="L34" s="13">
        <f t="shared" si="5"/>
        <v>5.9520650579090312E-2</v>
      </c>
      <c r="M34" s="13"/>
      <c r="N34" s="13"/>
      <c r="O34" s="13">
        <f t="shared" si="5"/>
        <v>0.13599337487103585</v>
      </c>
    </row>
    <row r="35" spans="2:15" hidden="1" x14ac:dyDescent="0.25">
      <c r="C35" t="s">
        <v>30</v>
      </c>
      <c r="D35" s="13">
        <f t="shared" ref="D35:O35" si="6">D17/D$18</f>
        <v>0.26393919468622185</v>
      </c>
      <c r="E35" s="13">
        <f t="shared" si="6"/>
        <v>0.87049759820748007</v>
      </c>
      <c r="F35" s="13">
        <f t="shared" si="6"/>
        <v>0.65070960665229871</v>
      </c>
      <c r="G35" s="13">
        <f t="shared" si="6"/>
        <v>0.96746406983405009</v>
      </c>
      <c r="H35" s="13">
        <f t="shared" si="6"/>
        <v>0.94008283866538422</v>
      </c>
      <c r="I35" s="13">
        <f t="shared" si="6"/>
        <v>0.86849451353328455</v>
      </c>
      <c r="J35" s="13">
        <f t="shared" si="6"/>
        <v>0.7771806106171264</v>
      </c>
      <c r="K35" s="13">
        <f t="shared" si="6"/>
        <v>0.73768516018043429</v>
      </c>
      <c r="L35" s="13">
        <f t="shared" si="6"/>
        <v>0.58792690350575971</v>
      </c>
      <c r="M35" s="13"/>
      <c r="N35" s="13"/>
      <c r="O35" s="13">
        <f t="shared" si="6"/>
        <v>0.67524653754400243</v>
      </c>
    </row>
  </sheetData>
  <hyperlinks>
    <hyperlink ref="K1" location="Contenido!A1" display="Contenido" xr:uid="{C90B62BA-D3B0-46EC-A89B-CE45D029BD71}"/>
  </hyperlinks>
  <pageMargins left="0.7" right="0.7" top="0.75" bottom="0.75" header="0.3" footer="0.3"/>
  <pageSetup scale="4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F923-18AB-4B52-9768-D9E0F99504E3}">
  <sheetPr>
    <pageSetUpPr fitToPage="1"/>
  </sheetPr>
  <dimension ref="A1:R35"/>
  <sheetViews>
    <sheetView topLeftCell="B1" workbookViewId="0">
      <selection activeCell="B12" sqref="B12"/>
    </sheetView>
  </sheetViews>
  <sheetFormatPr defaultRowHeight="15" x14ac:dyDescent="0.25"/>
  <cols>
    <col min="1" max="1" width="25.42578125" hidden="1" customWidth="1"/>
    <col min="2" max="2" width="25.7109375" bestFit="1" customWidth="1"/>
    <col min="3" max="3" width="20" bestFit="1" customWidth="1"/>
    <col min="4" max="4" width="22.28515625" bestFit="1" customWidth="1"/>
    <col min="5" max="5" width="18.5703125" customWidth="1"/>
    <col min="6" max="18" width="15.7109375" customWidth="1"/>
  </cols>
  <sheetData>
    <row r="1" spans="1:18" x14ac:dyDescent="0.25">
      <c r="A1" s="22"/>
      <c r="B1" s="3" t="s">
        <v>44</v>
      </c>
      <c r="K1" s="28" t="s">
        <v>122</v>
      </c>
    </row>
    <row r="2" spans="1:18" x14ac:dyDescent="0.25">
      <c r="A2" s="22" t="s">
        <v>118</v>
      </c>
      <c r="B2" s="22" t="s">
        <v>118</v>
      </c>
    </row>
    <row r="3" spans="1:18" x14ac:dyDescent="0.25">
      <c r="A3" s="22"/>
      <c r="B3" s="3" t="s">
        <v>64</v>
      </c>
    </row>
    <row r="4" spans="1:18" x14ac:dyDescent="0.25">
      <c r="A4" s="22"/>
      <c r="B4" s="3" t="s">
        <v>36</v>
      </c>
    </row>
    <row r="5" spans="1:18" x14ac:dyDescent="0.25">
      <c r="A5" s="22"/>
      <c r="B5" s="3" t="s">
        <v>37</v>
      </c>
    </row>
    <row r="6" spans="1:18" x14ac:dyDescent="0.25">
      <c r="A6" s="27" t="s">
        <v>103</v>
      </c>
      <c r="B6" s="27" t="s">
        <v>103</v>
      </c>
    </row>
    <row r="8" spans="1:18" s="12" customFormat="1" ht="75" x14ac:dyDescent="0.25">
      <c r="A8" s="9"/>
      <c r="B8" s="9"/>
      <c r="C8" s="9"/>
      <c r="D8" s="9"/>
      <c r="E8" s="9" t="s">
        <v>1</v>
      </c>
      <c r="F8" s="9"/>
      <c r="G8" s="9"/>
      <c r="H8" s="9"/>
      <c r="I8" s="9"/>
      <c r="J8" s="9"/>
      <c r="K8" s="9"/>
      <c r="L8" s="9"/>
      <c r="M8" s="9" t="s">
        <v>2</v>
      </c>
      <c r="N8" s="9" t="s">
        <v>4</v>
      </c>
      <c r="O8" s="9" t="s">
        <v>5</v>
      </c>
      <c r="P8" s="9" t="s">
        <v>6</v>
      </c>
      <c r="Q8" s="9" t="s">
        <v>7</v>
      </c>
      <c r="R8" s="9"/>
    </row>
    <row r="9" spans="1:18" x14ac:dyDescent="0.25">
      <c r="A9" s="1"/>
      <c r="B9" s="1"/>
      <c r="C9" s="1"/>
      <c r="D9" s="1"/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/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9"/>
    </row>
    <row r="10" spans="1:18" ht="60" x14ac:dyDescent="0.25">
      <c r="A10" s="2"/>
      <c r="B10" s="2" t="s">
        <v>16</v>
      </c>
      <c r="C10" s="2"/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25</v>
      </c>
      <c r="L10" s="2" t="s">
        <v>87</v>
      </c>
      <c r="M10" s="2" t="s">
        <v>15</v>
      </c>
      <c r="N10" s="2" t="s">
        <v>15</v>
      </c>
      <c r="O10" s="2" t="s">
        <v>15</v>
      </c>
      <c r="P10" s="2" t="s">
        <v>15</v>
      </c>
      <c r="Q10" s="2" t="s">
        <v>15</v>
      </c>
      <c r="R10" s="2"/>
    </row>
    <row r="11" spans="1:18" x14ac:dyDescent="0.25">
      <c r="A11" s="3">
        <v>1</v>
      </c>
      <c r="B11" s="3" t="s">
        <v>26</v>
      </c>
      <c r="C11" s="3" t="s">
        <v>27</v>
      </c>
      <c r="D11" t="s">
        <v>28</v>
      </c>
      <c r="E11" s="7">
        <v>15173.200419932215</v>
      </c>
      <c r="F11" s="7">
        <v>0</v>
      </c>
      <c r="G11" s="7">
        <v>23637.170177786807</v>
      </c>
      <c r="H11" s="7">
        <v>0</v>
      </c>
      <c r="I11" s="7">
        <v>0</v>
      </c>
      <c r="J11" s="7">
        <v>726.53866872185972</v>
      </c>
      <c r="K11" s="7">
        <v>5.393735393</v>
      </c>
      <c r="L11" s="7">
        <f>SUM(E11:K11)</f>
        <v>39542.303001833883</v>
      </c>
      <c r="M11" s="7">
        <v>4973.3899898386244</v>
      </c>
      <c r="N11" s="7">
        <v>4505.5260594229821</v>
      </c>
      <c r="O11" s="7">
        <v>9924.0654855609719</v>
      </c>
      <c r="P11" s="7"/>
      <c r="Q11" s="7"/>
      <c r="R11" s="7">
        <v>58945.284536656458</v>
      </c>
    </row>
    <row r="12" spans="1:18" x14ac:dyDescent="0.25">
      <c r="A12" s="3"/>
      <c r="B12" s="3"/>
      <c r="C12" s="3"/>
      <c r="D12" t="s">
        <v>29</v>
      </c>
      <c r="E12" s="7">
        <v>34.706252016973636</v>
      </c>
      <c r="F12" s="7">
        <v>12.826481431429446</v>
      </c>
      <c r="G12" s="7">
        <v>11106.058469326968</v>
      </c>
      <c r="H12" s="7">
        <v>2092.1879508621118</v>
      </c>
      <c r="I12" s="7">
        <v>3.4076962864998306</v>
      </c>
      <c r="J12" s="7">
        <v>116.62787195231164</v>
      </c>
      <c r="K12" s="7">
        <v>7890.893340290163</v>
      </c>
      <c r="L12" s="7">
        <f t="shared" ref="L12:L19" si="0">SUM(E12:K12)</f>
        <v>21256.708062166457</v>
      </c>
      <c r="M12" s="7">
        <v>7109.2426702072717</v>
      </c>
      <c r="N12" s="7">
        <v>3453.3800364524996</v>
      </c>
      <c r="O12" s="7">
        <v>7079.872858206345</v>
      </c>
      <c r="P12" s="7"/>
      <c r="Q12" s="7"/>
      <c r="R12" s="7">
        <v>38899.203627032577</v>
      </c>
    </row>
    <row r="13" spans="1:18" x14ac:dyDescent="0.25">
      <c r="A13" s="4"/>
      <c r="B13" s="3"/>
      <c r="C13" s="3"/>
      <c r="D13" t="s">
        <v>30</v>
      </c>
      <c r="E13" s="7">
        <v>21.710843329819603</v>
      </c>
      <c r="F13" s="7">
        <v>30969.678807906494</v>
      </c>
      <c r="G13" s="7">
        <v>23570.132270267415</v>
      </c>
      <c r="H13" s="7">
        <v>11677.55945954573</v>
      </c>
      <c r="I13" s="7">
        <v>27189.490852669718</v>
      </c>
      <c r="J13" s="7">
        <v>35026.095171427594</v>
      </c>
      <c r="K13" s="7">
        <v>140191.23705216829</v>
      </c>
      <c r="L13" s="7">
        <f t="shared" si="0"/>
        <v>268645.90445731505</v>
      </c>
      <c r="M13" s="7">
        <v>42902.758139066158</v>
      </c>
      <c r="N13" s="7">
        <v>11001.038252122093</v>
      </c>
      <c r="O13" s="7">
        <v>-17003.938343767331</v>
      </c>
      <c r="P13" s="7"/>
      <c r="Q13" s="7"/>
      <c r="R13" s="7">
        <v>305545.76250473602</v>
      </c>
    </row>
    <row r="14" spans="1:18" x14ac:dyDescent="0.25">
      <c r="A14">
        <v>2</v>
      </c>
      <c r="B14" s="5" t="s">
        <v>68</v>
      </c>
      <c r="C14" s="5"/>
      <c r="D14" s="5"/>
      <c r="E14" s="8">
        <v>15229.617515279007</v>
      </c>
      <c r="F14" s="8">
        <v>30982.505289337922</v>
      </c>
      <c r="G14" s="8">
        <v>58313.360917381193</v>
      </c>
      <c r="H14" s="8">
        <v>13769.747410407841</v>
      </c>
      <c r="I14" s="8">
        <v>27192.898548956218</v>
      </c>
      <c r="J14" s="8">
        <v>35869.261712101768</v>
      </c>
      <c r="K14" s="8">
        <v>148087.52412785144</v>
      </c>
      <c r="L14" s="8">
        <f t="shared" si="0"/>
        <v>329444.91552131542</v>
      </c>
      <c r="M14" s="8">
        <v>54985.39079911205</v>
      </c>
      <c r="N14" s="8">
        <v>18959.944347997574</v>
      </c>
      <c r="O14" s="8">
        <v>-1.4551915228366852E-11</v>
      </c>
      <c r="P14" s="8"/>
      <c r="Q14" s="8"/>
      <c r="R14" s="8">
        <v>403390.25066842505</v>
      </c>
    </row>
    <row r="15" spans="1:18" x14ac:dyDescent="0.25">
      <c r="A15" s="3"/>
      <c r="B15" s="3" t="s">
        <v>32</v>
      </c>
      <c r="C15" s="3" t="s">
        <v>33</v>
      </c>
      <c r="D15" t="s">
        <v>28</v>
      </c>
      <c r="E15" s="7">
        <v>4262.380677662909</v>
      </c>
      <c r="F15" s="7">
        <v>0.51718107052778373</v>
      </c>
      <c r="G15" s="7">
        <v>11718.969635238125</v>
      </c>
      <c r="H15" s="7">
        <v>34.085808436416599</v>
      </c>
      <c r="I15" s="7">
        <v>20.038808154610596</v>
      </c>
      <c r="J15" s="7">
        <v>358.38738107730796</v>
      </c>
      <c r="K15" s="7">
        <v>2844.4141315852903</v>
      </c>
      <c r="L15" s="7">
        <f t="shared" si="0"/>
        <v>19238.793623225189</v>
      </c>
      <c r="M15" s="7">
        <v>12098.003749254976</v>
      </c>
      <c r="N15" s="7"/>
      <c r="O15" s="7"/>
      <c r="P15" s="7">
        <v>27154.802271775243</v>
      </c>
      <c r="Q15" s="7">
        <v>453.68489240087621</v>
      </c>
      <c r="R15" s="7">
        <v>58945.284536656276</v>
      </c>
    </row>
    <row r="16" spans="1:18" x14ac:dyDescent="0.25">
      <c r="A16" s="4"/>
      <c r="B16" s="3"/>
      <c r="C16" s="3"/>
      <c r="D16" t="s">
        <v>29</v>
      </c>
      <c r="E16" s="7">
        <v>858.81920941491217</v>
      </c>
      <c r="F16" s="7">
        <v>149.91373439464806</v>
      </c>
      <c r="G16" s="7">
        <v>3724.9781574810531</v>
      </c>
      <c r="H16" s="7">
        <v>203.76273325052014</v>
      </c>
      <c r="I16" s="7">
        <v>1359.1001080246299</v>
      </c>
      <c r="J16" s="7">
        <v>478.1245158033102</v>
      </c>
      <c r="K16" s="7">
        <v>3461.6574705915696</v>
      </c>
      <c r="L16" s="7">
        <f t="shared" si="0"/>
        <v>10236.355928960642</v>
      </c>
      <c r="M16" s="7">
        <v>5388.8970518417855</v>
      </c>
      <c r="N16" s="7"/>
      <c r="O16" s="7"/>
      <c r="P16" s="7">
        <v>21965.667700048532</v>
      </c>
      <c r="Q16" s="7">
        <v>1308.2829461815584</v>
      </c>
      <c r="R16" s="7">
        <v>38899.203627032519</v>
      </c>
    </row>
    <row r="17" spans="1:18" x14ac:dyDescent="0.25">
      <c r="A17" s="4">
        <v>3</v>
      </c>
      <c r="B17" s="3"/>
      <c r="C17" s="3"/>
      <c r="D17" t="s">
        <v>30</v>
      </c>
      <c r="E17" s="7">
        <v>3342.375914242713</v>
      </c>
      <c r="F17" s="7">
        <v>12720.180366562556</v>
      </c>
      <c r="G17" s="7">
        <v>25047.146778424005</v>
      </c>
      <c r="H17" s="7">
        <v>8086.1832188019844</v>
      </c>
      <c r="I17" s="7">
        <v>13404.275968160387</v>
      </c>
      <c r="J17" s="7">
        <v>16791.147149189801</v>
      </c>
      <c r="K17" s="7">
        <v>48712.577822955398</v>
      </c>
      <c r="L17" s="7">
        <f t="shared" si="0"/>
        <v>128103.88721833684</v>
      </c>
      <c r="M17" s="7">
        <v>36912.166843467101</v>
      </c>
      <c r="N17" s="7"/>
      <c r="O17" s="7"/>
      <c r="P17" s="7">
        <v>99952.684756293937</v>
      </c>
      <c r="Q17" s="7">
        <v>40577.023686638022</v>
      </c>
      <c r="R17" s="7">
        <v>305545.7625047359</v>
      </c>
    </row>
    <row r="18" spans="1:18" x14ac:dyDescent="0.25">
      <c r="A18" t="s">
        <v>0</v>
      </c>
      <c r="B18" s="5" t="s">
        <v>70</v>
      </c>
      <c r="C18" s="5"/>
      <c r="D18" s="5"/>
      <c r="E18" s="8">
        <v>8463.5758013205341</v>
      </c>
      <c r="F18" s="8">
        <v>12870.611282027732</v>
      </c>
      <c r="G18" s="8">
        <v>40491.094571143185</v>
      </c>
      <c r="H18" s="8">
        <v>8324.0317604889206</v>
      </c>
      <c r="I18" s="8">
        <v>14783.414884339629</v>
      </c>
      <c r="J18" s="8">
        <v>17627.659046070417</v>
      </c>
      <c r="K18" s="8">
        <v>55018.649425132258</v>
      </c>
      <c r="L18" s="8">
        <f t="shared" si="0"/>
        <v>157579.03677052265</v>
      </c>
      <c r="M18" s="8">
        <v>54399.067644563867</v>
      </c>
      <c r="N18" s="8"/>
      <c r="O18" s="8"/>
      <c r="P18" s="8">
        <v>149073.15472811772</v>
      </c>
      <c r="Q18" s="8">
        <v>42338.991525220459</v>
      </c>
      <c r="R18" s="8">
        <v>403390.25066842471</v>
      </c>
    </row>
    <row r="19" spans="1:18" x14ac:dyDescent="0.25">
      <c r="B19" s="5" t="s">
        <v>35</v>
      </c>
      <c r="C19" s="5"/>
      <c r="D19" s="5"/>
      <c r="E19" s="8">
        <v>6766.0417139584661</v>
      </c>
      <c r="F19" s="8">
        <v>18111.894007310184</v>
      </c>
      <c r="G19" s="8">
        <v>17822.266346237993</v>
      </c>
      <c r="H19" s="8">
        <v>5445.7156499189114</v>
      </c>
      <c r="I19" s="8">
        <v>12409.48366461658</v>
      </c>
      <c r="J19" s="8">
        <v>18241.6026660313</v>
      </c>
      <c r="K19" s="8">
        <v>93068.874702719244</v>
      </c>
      <c r="L19" s="8">
        <f t="shared" si="0"/>
        <v>171865.87875079268</v>
      </c>
      <c r="M19" s="8"/>
      <c r="N19" s="8"/>
      <c r="O19" s="8"/>
      <c r="P19" s="8"/>
      <c r="Q19" s="8"/>
      <c r="R19" s="8">
        <v>171865.87875079268</v>
      </c>
    </row>
    <row r="29" spans="1:18" hidden="1" x14ac:dyDescent="0.25">
      <c r="C29" t="s">
        <v>27</v>
      </c>
      <c r="D29" t="s">
        <v>28</v>
      </c>
      <c r="E29" s="13">
        <f>E11/E$14</f>
        <v>0.99629556715457934</v>
      </c>
      <c r="F29" s="13">
        <f t="shared" ref="F29:N29" si="1">F11/F$14</f>
        <v>0</v>
      </c>
      <c r="G29" s="13">
        <f t="shared" si="1"/>
        <v>0.40534741619979903</v>
      </c>
      <c r="H29" s="13">
        <f t="shared" si="1"/>
        <v>0</v>
      </c>
      <c r="I29" s="13">
        <f t="shared" si="1"/>
        <v>0</v>
      </c>
      <c r="J29" s="13">
        <f t="shared" si="1"/>
        <v>2.0255188817469752E-2</v>
      </c>
      <c r="K29" s="13">
        <f t="shared" si="1"/>
        <v>3.6422618480293555E-5</v>
      </c>
      <c r="L29" s="13">
        <f t="shared" si="1"/>
        <v>0.12002705502151075</v>
      </c>
      <c r="M29" s="13">
        <f t="shared" si="1"/>
        <v>9.0449297850929145E-2</v>
      </c>
      <c r="N29" s="13">
        <f t="shared" si="1"/>
        <v>0.23763392849298243</v>
      </c>
      <c r="O29" s="13"/>
      <c r="P29" s="13"/>
      <c r="Q29" s="13"/>
    </row>
    <row r="30" spans="1:18" hidden="1" x14ac:dyDescent="0.25">
      <c r="D30" t="s">
        <v>29</v>
      </c>
      <c r="E30" s="13">
        <f t="shared" ref="E30:N30" si="2">E12/E$14</f>
        <v>2.2788656367866648E-3</v>
      </c>
      <c r="F30" s="13">
        <f t="shared" si="2"/>
        <v>4.1399109954621556E-4</v>
      </c>
      <c r="G30" s="13">
        <f t="shared" si="2"/>
        <v>0.19045478248221906</v>
      </c>
      <c r="H30" s="13">
        <f t="shared" si="2"/>
        <v>0.15194090991681772</v>
      </c>
      <c r="I30" s="13">
        <f t="shared" si="2"/>
        <v>1.2531566947027913E-4</v>
      </c>
      <c r="J30" s="13">
        <f t="shared" si="2"/>
        <v>3.2514712147800658E-3</v>
      </c>
      <c r="K30" s="13">
        <f t="shared" si="2"/>
        <v>5.3285335052786459E-2</v>
      </c>
      <c r="L30" s="13">
        <f t="shared" si="2"/>
        <v>6.4522798989110897E-2</v>
      </c>
      <c r="M30" s="13">
        <f t="shared" si="2"/>
        <v>0.12929330076384721</v>
      </c>
      <c r="N30" s="13">
        <f t="shared" si="2"/>
        <v>0.1821408319068839</v>
      </c>
      <c r="O30" s="13"/>
      <c r="P30" s="13"/>
      <c r="Q30" s="13"/>
    </row>
    <row r="31" spans="1:18" hidden="1" x14ac:dyDescent="0.25">
      <c r="D31" t="s">
        <v>30</v>
      </c>
      <c r="E31" s="13">
        <f t="shared" ref="E31:N31" si="3">E13/E$14</f>
        <v>1.4255672086339892E-3</v>
      </c>
      <c r="F31" s="13">
        <f t="shared" si="3"/>
        <v>0.99958600890045379</v>
      </c>
      <c r="G31" s="13">
        <f t="shared" si="3"/>
        <v>0.40419780131798194</v>
      </c>
      <c r="H31" s="13">
        <f t="shared" si="3"/>
        <v>0.84805909008318237</v>
      </c>
      <c r="I31" s="13">
        <f t="shared" si="3"/>
        <v>0.99987468433052973</v>
      </c>
      <c r="J31" s="13">
        <f t="shared" si="3"/>
        <v>0.97649333996775012</v>
      </c>
      <c r="K31" s="13">
        <f t="shared" si="3"/>
        <v>0.94667824232873332</v>
      </c>
      <c r="L31" s="13">
        <f t="shared" si="3"/>
        <v>0.81545014598937826</v>
      </c>
      <c r="M31" s="13">
        <f t="shared" si="3"/>
        <v>0.7802574013852237</v>
      </c>
      <c r="N31" s="13">
        <f t="shared" si="3"/>
        <v>0.58022523960013361</v>
      </c>
      <c r="O31" s="13"/>
      <c r="P31" s="13"/>
      <c r="Q31" s="13"/>
    </row>
    <row r="32" spans="1:18" hidden="1" x14ac:dyDescent="0.25"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3:17" hidden="1" x14ac:dyDescent="0.25">
      <c r="C33" t="s">
        <v>33</v>
      </c>
      <c r="D33" t="s">
        <v>28</v>
      </c>
      <c r="E33" s="13">
        <f>E15/E$18</f>
        <v>0.50361463968903886</v>
      </c>
      <c r="F33" s="13">
        <f t="shared" ref="F33:Q33" si="4">F15/F$18</f>
        <v>4.0183100801899378E-5</v>
      </c>
      <c r="G33" s="13">
        <f t="shared" si="4"/>
        <v>0.28942091487914212</v>
      </c>
      <c r="H33" s="13">
        <f t="shared" si="4"/>
        <v>4.09486765754658E-3</v>
      </c>
      <c r="I33" s="13">
        <f t="shared" si="4"/>
        <v>1.3554925104508912E-3</v>
      </c>
      <c r="J33" s="13">
        <f t="shared" si="4"/>
        <v>2.0330968516049226E-2</v>
      </c>
      <c r="K33" s="13">
        <f t="shared" si="4"/>
        <v>5.169909042307344E-2</v>
      </c>
      <c r="L33" s="13">
        <f t="shared" si="4"/>
        <v>0.12208980342507127</v>
      </c>
      <c r="M33" s="13">
        <f t="shared" si="4"/>
        <v>0.22239358638095955</v>
      </c>
      <c r="N33" s="13"/>
      <c r="O33" s="13"/>
      <c r="P33" s="13">
        <f t="shared" si="4"/>
        <v>0.18215756097266914</v>
      </c>
      <c r="Q33" s="13">
        <f t="shared" si="4"/>
        <v>1.0715533744601014E-2</v>
      </c>
    </row>
    <row r="34" spans="3:17" hidden="1" x14ac:dyDescent="0.25">
      <c r="D34" t="s">
        <v>29</v>
      </c>
      <c r="E34" s="13">
        <f t="shared" ref="E34:Q34" si="5">E16/E$18</f>
        <v>0.10147238349078345</v>
      </c>
      <c r="F34" s="13">
        <f t="shared" si="5"/>
        <v>1.1647755581274111E-2</v>
      </c>
      <c r="G34" s="13">
        <f t="shared" si="5"/>
        <v>9.1994997836777073E-2</v>
      </c>
      <c r="H34" s="13">
        <f t="shared" si="5"/>
        <v>2.4478851007958182E-2</v>
      </c>
      <c r="I34" s="13">
        <f t="shared" si="5"/>
        <v>9.1934111208929956E-2</v>
      </c>
      <c r="J34" s="13">
        <f t="shared" si="5"/>
        <v>2.7123540031816894E-2</v>
      </c>
      <c r="K34" s="13">
        <f t="shared" si="5"/>
        <v>6.2917892510285803E-2</v>
      </c>
      <c r="L34" s="13">
        <f t="shared" si="5"/>
        <v>6.4960137710877885E-2</v>
      </c>
      <c r="M34" s="13">
        <f t="shared" si="5"/>
        <v>9.9062305388248714E-2</v>
      </c>
      <c r="N34" s="13"/>
      <c r="O34" s="13"/>
      <c r="P34" s="13">
        <f t="shared" si="5"/>
        <v>0.14734824482724546</v>
      </c>
      <c r="Q34" s="13">
        <f t="shared" si="5"/>
        <v>3.0900191503197269E-2</v>
      </c>
    </row>
    <row r="35" spans="3:17" hidden="1" x14ac:dyDescent="0.25">
      <c r="D35" t="s">
        <v>30</v>
      </c>
      <c r="E35" s="13">
        <f t="shared" ref="E35:Q35" si="6">E17/E$18</f>
        <v>0.39491297682017767</v>
      </c>
      <c r="F35" s="13">
        <f t="shared" si="6"/>
        <v>0.98831206131792393</v>
      </c>
      <c r="G35" s="13">
        <f t="shared" si="6"/>
        <v>0.61858408728408076</v>
      </c>
      <c r="H35" s="13">
        <f t="shared" si="6"/>
        <v>0.97142628133449527</v>
      </c>
      <c r="I35" s="13">
        <f t="shared" si="6"/>
        <v>0.90671039628061911</v>
      </c>
      <c r="J35" s="13">
        <f t="shared" si="6"/>
        <v>0.95254549145213396</v>
      </c>
      <c r="K35" s="13">
        <f t="shared" si="6"/>
        <v>0.88538301706664069</v>
      </c>
      <c r="L35" s="13">
        <f t="shared" si="6"/>
        <v>0.81295005886405092</v>
      </c>
      <c r="M35" s="13">
        <f t="shared" si="6"/>
        <v>0.6785441082307917</v>
      </c>
      <c r="N35" s="13"/>
      <c r="O35" s="13"/>
      <c r="P35" s="13">
        <f t="shared" si="6"/>
        <v>0.67049419420008538</v>
      </c>
      <c r="Q35" s="13">
        <f t="shared" si="6"/>
        <v>0.95838427475220167</v>
      </c>
    </row>
  </sheetData>
  <hyperlinks>
    <hyperlink ref="K1" location="Contenido!A1" display="Contenido" xr:uid="{C2FD8FAD-E7DD-477A-AA5E-494AE85F3FA8}"/>
  </hyperlinks>
  <pageMargins left="0.7" right="0.7" top="0.75" bottom="0.75" header="0.3" footer="0.3"/>
  <pageSetup scale="4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1CF1-AD7F-41B9-9D5C-85D8DBF978FB}">
  <sheetPr>
    <pageSetUpPr fitToPage="1"/>
  </sheetPr>
  <dimension ref="A1:R41"/>
  <sheetViews>
    <sheetView topLeftCell="C1" workbookViewId="0">
      <selection activeCell="L22" sqref="L22:R22"/>
    </sheetView>
  </sheetViews>
  <sheetFormatPr defaultRowHeight="15" x14ac:dyDescent="0.25"/>
  <cols>
    <col min="1" max="1" width="17.140625" customWidth="1"/>
    <col min="2" max="2" width="53.140625" customWidth="1"/>
    <col min="3" max="3" width="24.5703125" bestFit="1" customWidth="1"/>
    <col min="4" max="18" width="17.7109375" customWidth="1"/>
  </cols>
  <sheetData>
    <row r="1" spans="1:18" x14ac:dyDescent="0.25">
      <c r="A1" s="22" t="s">
        <v>38</v>
      </c>
      <c r="K1" s="28" t="s">
        <v>122</v>
      </c>
    </row>
    <row r="2" spans="1:18" x14ac:dyDescent="0.25">
      <c r="A2" s="22" t="s">
        <v>118</v>
      </c>
    </row>
    <row r="3" spans="1:18" x14ac:dyDescent="0.25">
      <c r="A3" s="22" t="s">
        <v>64</v>
      </c>
    </row>
    <row r="4" spans="1:18" x14ac:dyDescent="0.25">
      <c r="A4" s="22" t="s">
        <v>36</v>
      </c>
    </row>
    <row r="5" spans="1:18" x14ac:dyDescent="0.25">
      <c r="A5" s="22" t="s">
        <v>37</v>
      </c>
    </row>
    <row r="6" spans="1:18" x14ac:dyDescent="0.25">
      <c r="A6" s="27" t="s">
        <v>103</v>
      </c>
    </row>
    <row r="8" spans="1:18" s="12" customFormat="1" ht="60" x14ac:dyDescent="0.25">
      <c r="A8" s="9"/>
      <c r="B8" s="9"/>
      <c r="C8" s="9"/>
      <c r="D8" s="9" t="s">
        <v>1</v>
      </c>
      <c r="E8" s="9"/>
      <c r="F8" s="9"/>
      <c r="G8" s="9"/>
      <c r="H8" s="9"/>
      <c r="I8" s="9"/>
      <c r="J8" s="9"/>
      <c r="K8" s="9"/>
      <c r="L8" s="9" t="s">
        <v>2</v>
      </c>
      <c r="M8" s="9" t="s">
        <v>3</v>
      </c>
      <c r="N8" s="9" t="s">
        <v>4</v>
      </c>
      <c r="O8" s="9" t="s">
        <v>5</v>
      </c>
      <c r="P8" s="9" t="s">
        <v>6</v>
      </c>
      <c r="Q8" s="9" t="s">
        <v>7</v>
      </c>
      <c r="R8" s="9"/>
    </row>
    <row r="9" spans="1:18" x14ac:dyDescent="0.25">
      <c r="A9" s="1"/>
      <c r="B9" s="1"/>
      <c r="C9" s="1"/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/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9"/>
    </row>
    <row r="10" spans="1:18" ht="45" x14ac:dyDescent="0.25">
      <c r="A10" s="2" t="s">
        <v>16</v>
      </c>
      <c r="B10" s="2"/>
      <c r="C10" s="2" t="s">
        <v>18</v>
      </c>
      <c r="D10" s="6" t="s">
        <v>19</v>
      </c>
      <c r="E10" s="6" t="s">
        <v>20</v>
      </c>
      <c r="F10" s="6" t="s">
        <v>21</v>
      </c>
      <c r="G10" s="6" t="s">
        <v>22</v>
      </c>
      <c r="H10" s="6" t="s">
        <v>23</v>
      </c>
      <c r="I10" s="6" t="s">
        <v>24</v>
      </c>
      <c r="J10" s="6" t="s">
        <v>25</v>
      </c>
      <c r="K10" s="2" t="s">
        <v>87</v>
      </c>
      <c r="L10" s="6" t="s">
        <v>15</v>
      </c>
      <c r="M10" s="6" t="s">
        <v>15</v>
      </c>
      <c r="N10" s="6" t="s">
        <v>15</v>
      </c>
      <c r="O10" s="6" t="s">
        <v>15</v>
      </c>
      <c r="P10" s="6" t="s">
        <v>15</v>
      </c>
      <c r="Q10" s="6" t="s">
        <v>15</v>
      </c>
      <c r="R10" s="2"/>
    </row>
    <row r="11" spans="1:18" x14ac:dyDescent="0.25">
      <c r="A11" s="3" t="s">
        <v>26</v>
      </c>
      <c r="B11" s="3" t="s">
        <v>27</v>
      </c>
      <c r="C11" t="s">
        <v>28</v>
      </c>
      <c r="D11" s="7">
        <v>92500</v>
      </c>
      <c r="E11" s="7">
        <v>0</v>
      </c>
      <c r="F11" s="7">
        <v>112149</v>
      </c>
      <c r="G11" s="7">
        <v>0</v>
      </c>
      <c r="H11" s="7">
        <v>0</v>
      </c>
      <c r="I11" s="7">
        <v>0</v>
      </c>
      <c r="J11" s="7">
        <v>1638</v>
      </c>
      <c r="K11" s="7">
        <f>SUM(D11:J11)</f>
        <v>206287</v>
      </c>
      <c r="L11" s="7">
        <v>19843</v>
      </c>
      <c r="M11" s="7">
        <v>0</v>
      </c>
      <c r="N11" s="7">
        <v>15898</v>
      </c>
      <c r="O11" s="7">
        <v>52022</v>
      </c>
      <c r="P11" s="7">
        <v>0</v>
      </c>
      <c r="Q11" s="7">
        <v>0</v>
      </c>
      <c r="R11" s="7">
        <v>294050</v>
      </c>
    </row>
    <row r="12" spans="1:18" x14ac:dyDescent="0.25">
      <c r="A12" s="3"/>
      <c r="B12" s="3"/>
      <c r="C12" t="s">
        <v>29</v>
      </c>
      <c r="D12" s="7">
        <v>4199</v>
      </c>
      <c r="E12" s="7">
        <v>14751</v>
      </c>
      <c r="F12" s="7">
        <v>56280</v>
      </c>
      <c r="G12" s="7">
        <v>42441</v>
      </c>
      <c r="H12" s="7">
        <v>0</v>
      </c>
      <c r="I12" s="7">
        <v>0</v>
      </c>
      <c r="J12" s="7">
        <v>67324</v>
      </c>
      <c r="K12" s="7">
        <f t="shared" ref="K12:K23" si="0">SUM(D12:J12)</f>
        <v>184995</v>
      </c>
      <c r="L12" s="7">
        <v>36014</v>
      </c>
      <c r="M12" s="7">
        <v>0</v>
      </c>
      <c r="N12" s="7">
        <v>14452</v>
      </c>
      <c r="O12" s="7">
        <v>25967</v>
      </c>
      <c r="P12" s="7">
        <v>0</v>
      </c>
      <c r="Q12" s="7">
        <v>0</v>
      </c>
      <c r="R12" s="7">
        <v>261428</v>
      </c>
    </row>
    <row r="13" spans="1:18" x14ac:dyDescent="0.25">
      <c r="A13" s="3"/>
      <c r="B13" s="3"/>
      <c r="C13" t="s">
        <v>30</v>
      </c>
      <c r="D13" s="7">
        <v>21546</v>
      </c>
      <c r="E13" s="7">
        <v>66677</v>
      </c>
      <c r="F13" s="7">
        <v>196551</v>
      </c>
      <c r="G13" s="7">
        <v>29292</v>
      </c>
      <c r="H13" s="7">
        <v>167458</v>
      </c>
      <c r="I13" s="7">
        <v>148769</v>
      </c>
      <c r="J13" s="7">
        <v>711320</v>
      </c>
      <c r="K13" s="7">
        <f t="shared" si="0"/>
        <v>1341613</v>
      </c>
      <c r="L13" s="7">
        <v>147974</v>
      </c>
      <c r="M13" s="7">
        <v>0</v>
      </c>
      <c r="N13" s="7">
        <v>60785</v>
      </c>
      <c r="O13" s="7">
        <v>-77989</v>
      </c>
      <c r="P13" s="7">
        <v>0</v>
      </c>
      <c r="Q13" s="7">
        <v>0</v>
      </c>
      <c r="R13" s="7">
        <v>1472383</v>
      </c>
    </row>
    <row r="14" spans="1:18" x14ac:dyDescent="0.25">
      <c r="A14" s="3"/>
      <c r="B14" s="3" t="s">
        <v>3</v>
      </c>
      <c r="C14" t="s">
        <v>15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f t="shared" si="0"/>
        <v>0</v>
      </c>
      <c r="L14" s="7">
        <v>-5309</v>
      </c>
      <c r="M14" s="7">
        <v>5309</v>
      </c>
      <c r="N14" s="7">
        <v>0</v>
      </c>
      <c r="O14" s="7">
        <v>0</v>
      </c>
      <c r="P14" s="7"/>
      <c r="Q14" s="7"/>
      <c r="R14" s="7">
        <v>0</v>
      </c>
    </row>
    <row r="15" spans="1:18" x14ac:dyDescent="0.25">
      <c r="A15" s="3"/>
      <c r="B15" s="3" t="s">
        <v>31</v>
      </c>
      <c r="C15" t="s">
        <v>15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f t="shared" si="0"/>
        <v>0</v>
      </c>
      <c r="L15" s="7">
        <v>14392</v>
      </c>
      <c r="M15" s="7">
        <v>0</v>
      </c>
      <c r="N15" s="7">
        <v>0</v>
      </c>
      <c r="O15" s="7">
        <v>0</v>
      </c>
      <c r="P15" s="7"/>
      <c r="Q15" s="7"/>
      <c r="R15" s="7">
        <v>14392</v>
      </c>
    </row>
    <row r="16" spans="1:18" x14ac:dyDescent="0.25">
      <c r="A16" s="5" t="s">
        <v>68</v>
      </c>
      <c r="B16" s="5"/>
      <c r="C16" s="5"/>
      <c r="D16" s="8">
        <v>118245</v>
      </c>
      <c r="E16" s="8">
        <v>81428</v>
      </c>
      <c r="F16" s="8">
        <v>364980</v>
      </c>
      <c r="G16" s="8">
        <v>71733</v>
      </c>
      <c r="H16" s="8">
        <v>167458</v>
      </c>
      <c r="I16" s="8">
        <v>148769</v>
      </c>
      <c r="J16" s="8">
        <v>780282</v>
      </c>
      <c r="K16" s="8">
        <f t="shared" si="0"/>
        <v>1732895</v>
      </c>
      <c r="L16" s="8">
        <v>203831</v>
      </c>
      <c r="M16" s="8">
        <v>0</v>
      </c>
      <c r="N16" s="8">
        <v>91135</v>
      </c>
      <c r="O16" s="8">
        <v>0</v>
      </c>
      <c r="P16" s="8">
        <v>0</v>
      </c>
      <c r="Q16" s="8">
        <v>0</v>
      </c>
      <c r="R16" s="8">
        <v>2027861</v>
      </c>
    </row>
    <row r="17" spans="1:18" x14ac:dyDescent="0.25">
      <c r="A17" s="3" t="s">
        <v>32</v>
      </c>
      <c r="B17" s="3" t="s">
        <v>33</v>
      </c>
      <c r="C17" t="s">
        <v>28</v>
      </c>
      <c r="D17" s="7">
        <v>17057</v>
      </c>
      <c r="E17" s="7">
        <v>0</v>
      </c>
      <c r="F17" s="7">
        <v>67747</v>
      </c>
      <c r="G17" s="7">
        <v>0</v>
      </c>
      <c r="H17" s="7">
        <v>890</v>
      </c>
      <c r="I17" s="7">
        <v>234</v>
      </c>
      <c r="J17" s="7">
        <v>27010</v>
      </c>
      <c r="K17" s="7">
        <f t="shared" si="0"/>
        <v>112938</v>
      </c>
      <c r="L17" s="7">
        <v>22244</v>
      </c>
      <c r="M17" s="7">
        <v>0</v>
      </c>
      <c r="N17" s="7">
        <v>0</v>
      </c>
      <c r="O17" s="7">
        <v>0</v>
      </c>
      <c r="P17" s="7">
        <v>153008</v>
      </c>
      <c r="Q17" s="7">
        <v>5860</v>
      </c>
      <c r="R17" s="7">
        <v>294050</v>
      </c>
    </row>
    <row r="18" spans="1:18" x14ac:dyDescent="0.25">
      <c r="A18" s="3"/>
      <c r="B18" s="3"/>
      <c r="C18" t="s">
        <v>29</v>
      </c>
      <c r="D18" s="7">
        <v>12102</v>
      </c>
      <c r="E18" s="7">
        <v>12960</v>
      </c>
      <c r="F18" s="7">
        <v>49194</v>
      </c>
      <c r="G18" s="7">
        <v>5239</v>
      </c>
      <c r="H18" s="7">
        <v>3845</v>
      </c>
      <c r="I18" s="7">
        <v>4715</v>
      </c>
      <c r="J18" s="7">
        <v>15717</v>
      </c>
      <c r="K18" s="7">
        <f t="shared" si="0"/>
        <v>103772</v>
      </c>
      <c r="L18" s="7">
        <v>16893</v>
      </c>
      <c r="M18" s="7">
        <v>0</v>
      </c>
      <c r="N18" s="7">
        <v>0</v>
      </c>
      <c r="O18" s="7">
        <v>0</v>
      </c>
      <c r="P18" s="7">
        <v>137381</v>
      </c>
      <c r="Q18" s="7">
        <v>3382</v>
      </c>
      <c r="R18" s="7">
        <v>261428</v>
      </c>
    </row>
    <row r="19" spans="1:18" x14ac:dyDescent="0.25">
      <c r="A19" s="3"/>
      <c r="B19" s="3"/>
      <c r="C19" t="s">
        <v>30</v>
      </c>
      <c r="D19" s="7">
        <v>12422</v>
      </c>
      <c r="E19" s="7">
        <v>25847</v>
      </c>
      <c r="F19" s="7">
        <v>137882</v>
      </c>
      <c r="G19" s="7">
        <v>33878</v>
      </c>
      <c r="H19" s="7">
        <v>97613</v>
      </c>
      <c r="I19" s="7">
        <v>57114</v>
      </c>
      <c r="J19" s="7">
        <v>254773</v>
      </c>
      <c r="K19" s="7">
        <f t="shared" si="0"/>
        <v>619529</v>
      </c>
      <c r="L19" s="7">
        <v>117919</v>
      </c>
      <c r="M19" s="7">
        <v>0</v>
      </c>
      <c r="N19" s="7">
        <v>0</v>
      </c>
      <c r="O19" s="7">
        <v>0</v>
      </c>
      <c r="P19" s="7">
        <v>534810</v>
      </c>
      <c r="Q19" s="7">
        <v>200125</v>
      </c>
      <c r="R19" s="7">
        <v>1472383</v>
      </c>
    </row>
    <row r="20" spans="1:18" x14ac:dyDescent="0.25">
      <c r="A20" s="3"/>
      <c r="B20" s="3" t="s">
        <v>31</v>
      </c>
      <c r="C20" t="s">
        <v>15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f t="shared" si="0"/>
        <v>0</v>
      </c>
      <c r="L20" s="7">
        <v>0</v>
      </c>
      <c r="M20" s="7"/>
      <c r="N20" s="7"/>
      <c r="O20" s="7"/>
      <c r="P20" s="7">
        <v>5059</v>
      </c>
      <c r="Q20" s="7">
        <v>0</v>
      </c>
      <c r="R20" s="7">
        <v>5059</v>
      </c>
    </row>
    <row r="21" spans="1:18" x14ac:dyDescent="0.25">
      <c r="A21" s="3"/>
      <c r="B21" s="3" t="s">
        <v>34</v>
      </c>
      <c r="C21" t="s">
        <v>15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f t="shared" si="0"/>
        <v>0</v>
      </c>
      <c r="L21" s="7">
        <v>9333</v>
      </c>
      <c r="M21" s="7"/>
      <c r="N21" s="7"/>
      <c r="O21" s="7"/>
      <c r="P21" s="7">
        <v>0</v>
      </c>
      <c r="Q21" s="7">
        <v>0</v>
      </c>
      <c r="R21" s="7">
        <v>9333</v>
      </c>
    </row>
    <row r="22" spans="1:18" x14ac:dyDescent="0.25">
      <c r="A22" s="5" t="s">
        <v>70</v>
      </c>
      <c r="B22" s="5"/>
      <c r="C22" s="5"/>
      <c r="D22" s="8">
        <v>41581</v>
      </c>
      <c r="E22" s="8">
        <v>38807</v>
      </c>
      <c r="F22" s="8">
        <v>254823</v>
      </c>
      <c r="G22" s="8">
        <v>39117</v>
      </c>
      <c r="H22" s="8">
        <v>102348</v>
      </c>
      <c r="I22" s="8">
        <v>62063</v>
      </c>
      <c r="J22" s="8">
        <v>297500</v>
      </c>
      <c r="K22" s="8">
        <f t="shared" si="0"/>
        <v>836239</v>
      </c>
      <c r="L22" s="8">
        <v>157056</v>
      </c>
      <c r="M22" s="8">
        <v>0</v>
      </c>
      <c r="N22" s="8">
        <v>0</v>
      </c>
      <c r="O22" s="8">
        <v>0</v>
      </c>
      <c r="P22" s="8">
        <v>825199</v>
      </c>
      <c r="Q22" s="8">
        <v>209367</v>
      </c>
      <c r="R22" s="8">
        <v>2027861</v>
      </c>
    </row>
    <row r="23" spans="1:18" x14ac:dyDescent="0.25">
      <c r="A23" s="5" t="s">
        <v>35</v>
      </c>
      <c r="B23" s="5"/>
      <c r="C23" s="5"/>
      <c r="D23" s="8">
        <v>76664</v>
      </c>
      <c r="E23" s="8">
        <v>42621</v>
      </c>
      <c r="F23" s="8">
        <v>110157</v>
      </c>
      <c r="G23" s="8">
        <v>32616</v>
      </c>
      <c r="H23" s="8">
        <v>65110</v>
      </c>
      <c r="I23" s="8">
        <v>86706</v>
      </c>
      <c r="J23" s="8">
        <v>482782</v>
      </c>
      <c r="K23" s="8">
        <f t="shared" si="0"/>
        <v>896656</v>
      </c>
      <c r="L23" s="8"/>
      <c r="M23" s="8"/>
      <c r="N23" s="8"/>
      <c r="O23" s="8"/>
      <c r="P23" s="8"/>
      <c r="Q23" s="8"/>
      <c r="R23" s="8">
        <v>896656</v>
      </c>
    </row>
    <row r="33" spans="2:17" hidden="1" x14ac:dyDescent="0.25">
      <c r="B33" t="s">
        <v>27</v>
      </c>
      <c r="C33" t="s">
        <v>28</v>
      </c>
      <c r="D33" s="13">
        <f>D11/D$16</f>
        <v>0.78227409192777708</v>
      </c>
      <c r="E33" s="13">
        <f t="shared" ref="E33:L33" si="1">E11/E$16</f>
        <v>0</v>
      </c>
      <c r="F33" s="13">
        <f t="shared" si="1"/>
        <v>0.30727437119842183</v>
      </c>
      <c r="G33" s="13">
        <f t="shared" si="1"/>
        <v>0</v>
      </c>
      <c r="H33" s="13">
        <f t="shared" si="1"/>
        <v>0</v>
      </c>
      <c r="I33" s="13">
        <f t="shared" si="1"/>
        <v>0</v>
      </c>
      <c r="J33" s="13">
        <f t="shared" si="1"/>
        <v>2.09924104362269E-3</v>
      </c>
      <c r="K33" s="13">
        <f t="shared" si="1"/>
        <v>0.11904183461779277</v>
      </c>
      <c r="L33" s="13">
        <f t="shared" si="1"/>
        <v>9.7350255849208409E-2</v>
      </c>
      <c r="M33" s="13"/>
      <c r="N33" s="13">
        <f t="shared" ref="N33" si="2">N11/N$16</f>
        <v>0.17444450540407089</v>
      </c>
      <c r="O33" s="13"/>
      <c r="P33" s="13"/>
      <c r="Q33" s="13"/>
    </row>
    <row r="34" spans="2:17" hidden="1" x14ac:dyDescent="0.25">
      <c r="C34" t="s">
        <v>29</v>
      </c>
      <c r="D34" s="13">
        <f t="shared" ref="D34:L35" si="3">D12/D$16</f>
        <v>3.5511015264916061E-2</v>
      </c>
      <c r="E34" s="13">
        <f t="shared" si="3"/>
        <v>0.18115390283440586</v>
      </c>
      <c r="F34" s="13">
        <f t="shared" si="3"/>
        <v>0.15420023014959724</v>
      </c>
      <c r="G34" s="13">
        <f t="shared" si="3"/>
        <v>0.59165237756681022</v>
      </c>
      <c r="H34" s="13">
        <f t="shared" si="3"/>
        <v>0</v>
      </c>
      <c r="I34" s="13">
        <f t="shared" si="3"/>
        <v>0</v>
      </c>
      <c r="J34" s="13">
        <f t="shared" si="3"/>
        <v>8.6281626386357752E-2</v>
      </c>
      <c r="K34" s="13">
        <f t="shared" si="3"/>
        <v>0.10675488128247816</v>
      </c>
      <c r="L34" s="13">
        <f t="shared" si="3"/>
        <v>0.17668558757009484</v>
      </c>
      <c r="M34" s="13"/>
      <c r="N34" s="13">
        <f t="shared" ref="N34" si="4">N12/N$16</f>
        <v>0.15857793383442145</v>
      </c>
      <c r="O34" s="13"/>
      <c r="P34" s="13"/>
      <c r="Q34" s="13"/>
    </row>
    <row r="35" spans="2:17" hidden="1" x14ac:dyDescent="0.25">
      <c r="C35" t="s">
        <v>30</v>
      </c>
      <c r="D35" s="13">
        <f t="shared" si="3"/>
        <v>0.18221489280730685</v>
      </c>
      <c r="E35" s="13">
        <f t="shared" si="3"/>
        <v>0.8188460971655942</v>
      </c>
      <c r="F35" s="13">
        <f t="shared" si="3"/>
        <v>0.5385253986519809</v>
      </c>
      <c r="G35" s="13">
        <f t="shared" si="3"/>
        <v>0.40834762243318973</v>
      </c>
      <c r="H35" s="13">
        <f t="shared" si="3"/>
        <v>1</v>
      </c>
      <c r="I35" s="13">
        <f t="shared" si="3"/>
        <v>1</v>
      </c>
      <c r="J35" s="13">
        <f t="shared" si="3"/>
        <v>0.91161913257001959</v>
      </c>
      <c r="K35" s="13">
        <f t="shared" si="3"/>
        <v>0.77420328409972905</v>
      </c>
      <c r="L35" s="13">
        <f t="shared" si="3"/>
        <v>0.7259641565806968</v>
      </c>
      <c r="M35" s="13"/>
      <c r="N35" s="13">
        <f t="shared" ref="N35" si="5">N13/N$16</f>
        <v>0.6669775607615076</v>
      </c>
      <c r="O35" s="13"/>
      <c r="P35" s="13"/>
      <c r="Q35" s="13"/>
    </row>
    <row r="36" spans="2:17" hidden="1" x14ac:dyDescent="0.25">
      <c r="B36" t="s">
        <v>3</v>
      </c>
      <c r="C36" t="s">
        <v>15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2:17" hidden="1" x14ac:dyDescent="0.25">
      <c r="B37" t="s">
        <v>31</v>
      </c>
      <c r="C37" t="s">
        <v>15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2:17" hidden="1" x14ac:dyDescent="0.25"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2:17" hidden="1" x14ac:dyDescent="0.25">
      <c r="B39" t="s">
        <v>33</v>
      </c>
      <c r="C39" t="s">
        <v>28</v>
      </c>
      <c r="D39" s="13">
        <f>D17/D$22</f>
        <v>0.41021139462735384</v>
      </c>
      <c r="E39" s="13">
        <f t="shared" ref="E39:Q39" si="6">E17/E$22</f>
        <v>0</v>
      </c>
      <c r="F39" s="13">
        <f t="shared" si="6"/>
        <v>0.26585904726025517</v>
      </c>
      <c r="G39" s="13">
        <f t="shared" si="6"/>
        <v>0</v>
      </c>
      <c r="H39" s="13">
        <f t="shared" si="6"/>
        <v>8.695822097158714E-3</v>
      </c>
      <c r="I39" s="13">
        <f t="shared" si="6"/>
        <v>3.7703623737170293E-3</v>
      </c>
      <c r="J39" s="13">
        <f t="shared" si="6"/>
        <v>9.0789915966386553E-2</v>
      </c>
      <c r="K39" s="13">
        <f t="shared" si="6"/>
        <v>0.13505469130236691</v>
      </c>
      <c r="L39" s="13">
        <f t="shared" si="6"/>
        <v>0.14163101059494704</v>
      </c>
      <c r="M39" s="13"/>
      <c r="N39" s="13"/>
      <c r="O39" s="13"/>
      <c r="P39" s="13">
        <f t="shared" si="6"/>
        <v>0.18541951698923531</v>
      </c>
      <c r="Q39" s="13">
        <f t="shared" si="6"/>
        <v>2.7989129136874482E-2</v>
      </c>
    </row>
    <row r="40" spans="2:17" hidden="1" x14ac:dyDescent="0.25">
      <c r="C40" t="s">
        <v>29</v>
      </c>
      <c r="D40" s="13">
        <f t="shared" ref="D40:Q41" si="7">D18/D$22</f>
        <v>0.29104639138067867</v>
      </c>
      <c r="E40" s="13">
        <f t="shared" si="7"/>
        <v>0.3339603679748499</v>
      </c>
      <c r="F40" s="13">
        <f t="shared" si="7"/>
        <v>0.19305164761422636</v>
      </c>
      <c r="G40" s="13">
        <f t="shared" si="7"/>
        <v>0.13393153871718178</v>
      </c>
      <c r="H40" s="13">
        <f t="shared" si="7"/>
        <v>3.7567905577050843E-2</v>
      </c>
      <c r="I40" s="13">
        <f t="shared" si="7"/>
        <v>7.5971190564426472E-2</v>
      </c>
      <c r="J40" s="13">
        <f t="shared" si="7"/>
        <v>5.2830252100840337E-2</v>
      </c>
      <c r="K40" s="13">
        <f t="shared" si="7"/>
        <v>0.12409371005179141</v>
      </c>
      <c r="L40" s="13">
        <f t="shared" si="7"/>
        <v>0.10756036063569682</v>
      </c>
      <c r="M40" s="13"/>
      <c r="N40" s="13"/>
      <c r="O40" s="13"/>
      <c r="P40" s="13">
        <f t="shared" si="7"/>
        <v>0.16648226670172891</v>
      </c>
      <c r="Q40" s="13">
        <f t="shared" si="7"/>
        <v>1.615345302745896E-2</v>
      </c>
    </row>
    <row r="41" spans="2:17" hidden="1" x14ac:dyDescent="0.25">
      <c r="C41" t="s">
        <v>30</v>
      </c>
      <c r="D41" s="13">
        <f t="shared" si="7"/>
        <v>0.29874221399196749</v>
      </c>
      <c r="E41" s="13">
        <f t="shared" si="7"/>
        <v>0.66603963202515015</v>
      </c>
      <c r="F41" s="13">
        <f t="shared" si="7"/>
        <v>0.54108930512551845</v>
      </c>
      <c r="G41" s="13">
        <f t="shared" si="7"/>
        <v>0.86606846128281822</v>
      </c>
      <c r="H41" s="13">
        <f t="shared" si="7"/>
        <v>0.95373627232579039</v>
      </c>
      <c r="I41" s="13">
        <f t="shared" si="7"/>
        <v>0.92025844706185655</v>
      </c>
      <c r="J41" s="13">
        <f t="shared" si="7"/>
        <v>0.85637983193277312</v>
      </c>
      <c r="K41" s="13">
        <f t="shared" si="7"/>
        <v>0.74085159864584171</v>
      </c>
      <c r="L41" s="13">
        <f t="shared" si="7"/>
        <v>0.75080862876935617</v>
      </c>
      <c r="M41" s="13"/>
      <c r="N41" s="13"/>
      <c r="O41" s="13"/>
      <c r="P41" s="13">
        <f t="shared" si="7"/>
        <v>0.64809821630903575</v>
      </c>
      <c r="Q41" s="13">
        <f t="shared" si="7"/>
        <v>0.95585741783566658</v>
      </c>
    </row>
  </sheetData>
  <hyperlinks>
    <hyperlink ref="K1" location="Contenido!A1" display="Contenido" xr:uid="{6705BA88-E1EC-4928-93C7-4D5B7643FC08}"/>
  </hyperlinks>
  <pageMargins left="0.7" right="0.7" top="0.75" bottom="0.75" header="0.3" footer="0.3"/>
  <pageSetup scale="3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0F37-792E-43D9-8D15-0C4C7BE4D2D1}">
  <sheetPr>
    <pageSetUpPr fitToPage="1"/>
  </sheetPr>
  <dimension ref="A1:T39"/>
  <sheetViews>
    <sheetView workbookViewId="0">
      <selection activeCell="B12" sqref="B12"/>
    </sheetView>
  </sheetViews>
  <sheetFormatPr defaultRowHeight="15" x14ac:dyDescent="0.25"/>
  <cols>
    <col min="1" max="1" width="19.7109375" bestFit="1" customWidth="1"/>
    <col min="2" max="2" width="40.7109375" customWidth="1"/>
    <col min="3" max="3" width="22.28515625" bestFit="1" customWidth="1"/>
    <col min="4" max="21" width="15.7109375" customWidth="1"/>
  </cols>
  <sheetData>
    <row r="1" spans="1:20" x14ac:dyDescent="0.25">
      <c r="A1" s="22" t="s">
        <v>45</v>
      </c>
      <c r="K1" s="28" t="s">
        <v>122</v>
      </c>
    </row>
    <row r="2" spans="1:20" x14ac:dyDescent="0.25">
      <c r="A2" s="22" t="s">
        <v>118</v>
      </c>
    </row>
    <row r="3" spans="1:20" x14ac:dyDescent="0.25">
      <c r="A3" s="22" t="s">
        <v>64</v>
      </c>
    </row>
    <row r="4" spans="1:20" x14ac:dyDescent="0.25">
      <c r="A4" s="22" t="s">
        <v>36</v>
      </c>
    </row>
    <row r="5" spans="1:20" x14ac:dyDescent="0.25">
      <c r="A5" s="22" t="s">
        <v>46</v>
      </c>
    </row>
    <row r="6" spans="1:20" x14ac:dyDescent="0.25">
      <c r="A6" s="27" t="s">
        <v>103</v>
      </c>
    </row>
    <row r="8" spans="1:20" ht="60" x14ac:dyDescent="0.25">
      <c r="A8" s="1"/>
      <c r="B8" s="1"/>
      <c r="C8" s="1"/>
      <c r="D8" s="9" t="s">
        <v>47</v>
      </c>
      <c r="E8" s="9"/>
      <c r="F8" s="9"/>
      <c r="G8" s="9"/>
      <c r="H8" s="9"/>
      <c r="I8" s="9"/>
      <c r="J8" s="9"/>
      <c r="K8" s="9"/>
      <c r="L8" s="9" t="s">
        <v>48</v>
      </c>
      <c r="M8" s="9" t="s">
        <v>49</v>
      </c>
      <c r="N8" s="9" t="s">
        <v>50</v>
      </c>
      <c r="O8" s="9" t="s">
        <v>5</v>
      </c>
      <c r="P8" s="9" t="s">
        <v>51</v>
      </c>
      <c r="Q8" s="9" t="s">
        <v>52</v>
      </c>
      <c r="R8" s="9" t="s">
        <v>53</v>
      </c>
      <c r="S8" s="9" t="s">
        <v>54</v>
      </c>
      <c r="T8" s="9"/>
    </row>
    <row r="9" spans="1:20" x14ac:dyDescent="0.25">
      <c r="A9" s="1"/>
      <c r="B9" s="1"/>
      <c r="C9" s="1"/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/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1" t="s">
        <v>15</v>
      </c>
      <c r="S9" s="1" t="s">
        <v>15</v>
      </c>
      <c r="T9" s="9"/>
    </row>
    <row r="10" spans="1:20" ht="60" x14ac:dyDescent="0.25">
      <c r="A10" s="1" t="s">
        <v>16</v>
      </c>
      <c r="B10" s="1" t="s">
        <v>55</v>
      </c>
      <c r="C10" s="2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23</v>
      </c>
      <c r="I10" s="1" t="s">
        <v>24</v>
      </c>
      <c r="J10" s="1" t="s">
        <v>25</v>
      </c>
      <c r="K10" s="9" t="s">
        <v>87</v>
      </c>
      <c r="L10" s="1" t="s">
        <v>15</v>
      </c>
      <c r="M10" s="1" t="s">
        <v>15</v>
      </c>
      <c r="N10" s="1" t="s">
        <v>15</v>
      </c>
      <c r="O10" s="1" t="s">
        <v>15</v>
      </c>
      <c r="P10" s="1" t="s">
        <v>15</v>
      </c>
      <c r="Q10" s="1" t="s">
        <v>15</v>
      </c>
      <c r="R10" s="1" t="s">
        <v>15</v>
      </c>
      <c r="S10" s="1" t="s">
        <v>15</v>
      </c>
      <c r="T10" s="9"/>
    </row>
    <row r="11" spans="1:20" x14ac:dyDescent="0.25">
      <c r="A11" s="3" t="s">
        <v>26</v>
      </c>
      <c r="B11" s="3" t="s">
        <v>27</v>
      </c>
      <c r="C11" t="s">
        <v>28</v>
      </c>
      <c r="D11" s="7">
        <v>3286444.4137330181</v>
      </c>
      <c r="E11" s="7">
        <v>43.085827987220497</v>
      </c>
      <c r="F11" s="7">
        <v>5968579.6143528288</v>
      </c>
      <c r="G11" s="7">
        <v>56042.168280545804</v>
      </c>
      <c r="H11" s="7">
        <v>241.59129849246301</v>
      </c>
      <c r="I11" s="7">
        <v>35273.978243156773</v>
      </c>
      <c r="J11" s="7">
        <v>1961203.1193192133</v>
      </c>
      <c r="K11" s="7">
        <f>SUM(D11:J11)</f>
        <v>11307827.971055243</v>
      </c>
      <c r="L11" s="7">
        <v>3240197.2942692945</v>
      </c>
      <c r="M11" s="7">
        <v>858203.58307492174</v>
      </c>
      <c r="N11" s="7">
        <v>0</v>
      </c>
      <c r="O11" s="7">
        <v>2438165.6918894406</v>
      </c>
      <c r="P11" s="7"/>
      <c r="Q11" s="7"/>
      <c r="R11" s="7"/>
      <c r="S11" s="7"/>
      <c r="T11" s="7">
        <v>17844394.540288899</v>
      </c>
    </row>
    <row r="12" spans="1:20" x14ac:dyDescent="0.25">
      <c r="A12" s="3"/>
      <c r="B12" s="3"/>
      <c r="C12" t="s">
        <v>29</v>
      </c>
      <c r="D12" s="7">
        <v>12496.142164088587</v>
      </c>
      <c r="E12" s="7">
        <v>214565.58097996001</v>
      </c>
      <c r="F12" s="7">
        <v>728845.46288144425</v>
      </c>
      <c r="G12" s="7">
        <v>352952.9581304724</v>
      </c>
      <c r="H12" s="7">
        <v>2223.3541638470169</v>
      </c>
      <c r="I12" s="7">
        <v>4506897.4481007755</v>
      </c>
      <c r="J12" s="7">
        <v>756578.21461498947</v>
      </c>
      <c r="K12" s="7">
        <f t="shared" ref="K12:K22" si="0">SUM(D12:J12)</f>
        <v>6574559.1610355768</v>
      </c>
      <c r="L12" s="7">
        <v>779920.90335977077</v>
      </c>
      <c r="M12" s="7">
        <v>113302.69010881693</v>
      </c>
      <c r="N12" s="7">
        <v>0</v>
      </c>
      <c r="O12" s="7">
        <v>-4495923.4609937891</v>
      </c>
      <c r="P12" s="7"/>
      <c r="Q12" s="7"/>
      <c r="R12" s="7"/>
      <c r="S12" s="7"/>
      <c r="T12" s="7">
        <v>2971859.2935103755</v>
      </c>
    </row>
    <row r="13" spans="1:20" x14ac:dyDescent="0.25">
      <c r="A13" s="3"/>
      <c r="B13" s="3"/>
      <c r="C13" t="s">
        <v>30</v>
      </c>
      <c r="D13" s="7">
        <v>0</v>
      </c>
      <c r="E13" s="7">
        <v>14189.264819747334</v>
      </c>
      <c r="F13" s="7">
        <v>4724452.2548586195</v>
      </c>
      <c r="G13" s="7">
        <v>1052292.4939372414</v>
      </c>
      <c r="H13" s="7">
        <v>4726221.6796670277</v>
      </c>
      <c r="I13" s="7">
        <v>731126.80376100377</v>
      </c>
      <c r="J13" s="7">
        <v>28909878.749753449</v>
      </c>
      <c r="K13" s="7">
        <f t="shared" si="0"/>
        <v>40158161.246797085</v>
      </c>
      <c r="L13" s="7">
        <v>7939228.6654495047</v>
      </c>
      <c r="M13" s="7">
        <v>1653036.7371093337</v>
      </c>
      <c r="N13" s="7">
        <v>0</v>
      </c>
      <c r="O13" s="7">
        <v>2057757.7691043431</v>
      </c>
      <c r="P13" s="7"/>
      <c r="Q13" s="7"/>
      <c r="R13" s="7"/>
      <c r="S13" s="7"/>
      <c r="T13" s="7">
        <v>51808184.418460272</v>
      </c>
    </row>
    <row r="14" spans="1:20" x14ac:dyDescent="0.25">
      <c r="A14" s="3"/>
      <c r="B14" s="3" t="s">
        <v>56</v>
      </c>
      <c r="C14" t="s">
        <v>15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f t="shared" si="0"/>
        <v>0</v>
      </c>
      <c r="L14" s="7">
        <v>0</v>
      </c>
      <c r="M14" s="7">
        <v>0</v>
      </c>
      <c r="N14" s="7">
        <v>0</v>
      </c>
      <c r="O14" s="7">
        <v>0</v>
      </c>
      <c r="P14" s="7"/>
      <c r="Q14" s="7"/>
      <c r="R14" s="7"/>
      <c r="S14" s="7"/>
      <c r="T14" s="7">
        <v>0</v>
      </c>
    </row>
    <row r="15" spans="1:20" x14ac:dyDescent="0.25">
      <c r="A15" s="1" t="s">
        <v>68</v>
      </c>
      <c r="B15" s="1"/>
      <c r="C15" s="1"/>
      <c r="D15" s="24">
        <v>3298940.5558971069</v>
      </c>
      <c r="E15" s="24">
        <v>228797.93162769458</v>
      </c>
      <c r="F15" s="24">
        <v>11421877.332092892</v>
      </c>
      <c r="G15" s="24">
        <v>1461287.6203482596</v>
      </c>
      <c r="H15" s="24">
        <v>4728686.6251293672</v>
      </c>
      <c r="I15" s="24">
        <v>5273298.2301049354</v>
      </c>
      <c r="J15" s="24">
        <v>31627660.083687652</v>
      </c>
      <c r="K15" s="24">
        <f t="shared" si="0"/>
        <v>58040548.378887907</v>
      </c>
      <c r="L15" s="24">
        <v>11959346.86307857</v>
      </c>
      <c r="M15" s="24">
        <v>2624543.0102930726</v>
      </c>
      <c r="N15" s="24">
        <v>0</v>
      </c>
      <c r="O15" s="24">
        <v>-5.3551048040390015E-9</v>
      </c>
      <c r="P15" s="24"/>
      <c r="Q15" s="24"/>
      <c r="R15" s="24"/>
      <c r="S15" s="24"/>
      <c r="T15" s="24">
        <v>72624438.252259552</v>
      </c>
    </row>
    <row r="16" spans="1:20" x14ac:dyDescent="0.25">
      <c r="A16" s="3" t="s">
        <v>32</v>
      </c>
      <c r="B16" s="3" t="s">
        <v>33</v>
      </c>
      <c r="C16" t="s">
        <v>28</v>
      </c>
      <c r="D16" s="7">
        <v>788279.98032596998</v>
      </c>
      <c r="E16" s="7">
        <v>1771.2302709606245</v>
      </c>
      <c r="F16" s="7">
        <v>2699860.3921734719</v>
      </c>
      <c r="G16" s="7">
        <v>11753.299344892137</v>
      </c>
      <c r="H16" s="7">
        <v>83486.237573624385</v>
      </c>
      <c r="I16" s="7">
        <v>114244.12899999302</v>
      </c>
      <c r="J16" s="7">
        <v>1476975.2390187925</v>
      </c>
      <c r="K16" s="7">
        <f t="shared" si="0"/>
        <v>5176370.5077077048</v>
      </c>
      <c r="L16" s="7">
        <v>3841690.4180898624</v>
      </c>
      <c r="M16" s="7"/>
      <c r="N16" s="7"/>
      <c r="O16" s="7"/>
      <c r="P16" s="7">
        <v>8351766.8580310959</v>
      </c>
      <c r="Q16" s="7">
        <v>14365.32994198698</v>
      </c>
      <c r="R16" s="7">
        <v>262452.19948559732</v>
      </c>
      <c r="S16" s="7">
        <v>197749.22703266554</v>
      </c>
      <c r="T16" s="7">
        <v>17844394.54028891</v>
      </c>
    </row>
    <row r="17" spans="1:20" x14ac:dyDescent="0.25">
      <c r="A17" s="3"/>
      <c r="B17" s="3"/>
      <c r="C17" t="s">
        <v>29</v>
      </c>
      <c r="D17" s="7">
        <v>343825.2088408288</v>
      </c>
      <c r="E17" s="7">
        <v>7216.2832354548009</v>
      </c>
      <c r="F17" s="7">
        <v>476001.01511305867</v>
      </c>
      <c r="G17" s="7">
        <v>47526.057129511442</v>
      </c>
      <c r="H17" s="7">
        <v>261072.20594694803</v>
      </c>
      <c r="I17" s="7">
        <v>56276.173911827609</v>
      </c>
      <c r="J17" s="7">
        <v>400825.8193817815</v>
      </c>
      <c r="K17" s="7">
        <f t="shared" si="0"/>
        <v>1592742.7635594108</v>
      </c>
      <c r="L17" s="7">
        <v>511400.88897898176</v>
      </c>
      <c r="M17" s="7"/>
      <c r="N17" s="7"/>
      <c r="O17" s="7"/>
      <c r="P17" s="7">
        <v>778261.88346423651</v>
      </c>
      <c r="Q17" s="7">
        <v>2967.5140500724601</v>
      </c>
      <c r="R17" s="7">
        <v>0</v>
      </c>
      <c r="S17" s="7">
        <v>86486.243457682809</v>
      </c>
      <c r="T17" s="7">
        <v>2971859.2935103849</v>
      </c>
    </row>
    <row r="18" spans="1:20" x14ac:dyDescent="0.25">
      <c r="A18" s="3"/>
      <c r="B18" s="3"/>
      <c r="C18" t="s">
        <v>30</v>
      </c>
      <c r="D18" s="7">
        <v>551997.20374145731</v>
      </c>
      <c r="E18" s="7">
        <v>98533.752401666876</v>
      </c>
      <c r="F18" s="7">
        <v>3951501.7868780536</v>
      </c>
      <c r="G18" s="7">
        <v>438661.14015980763</v>
      </c>
      <c r="H18" s="7">
        <v>2719455.8277068655</v>
      </c>
      <c r="I18" s="7">
        <v>1773682.9972252003</v>
      </c>
      <c r="J18" s="7">
        <v>8347426.7017968781</v>
      </c>
      <c r="K18" s="7">
        <f t="shared" si="0"/>
        <v>17881259.40990993</v>
      </c>
      <c r="L18" s="7">
        <v>7797738.4452427095</v>
      </c>
      <c r="M18" s="7"/>
      <c r="N18" s="7"/>
      <c r="O18" s="7"/>
      <c r="P18" s="7">
        <v>13840697.52053011</v>
      </c>
      <c r="Q18" s="7">
        <v>386475.09868677822</v>
      </c>
      <c r="R18" s="7">
        <v>5570395.8046976104</v>
      </c>
      <c r="S18" s="7">
        <v>6331618.1393931573</v>
      </c>
      <c r="T18" s="7">
        <v>51808184.418460295</v>
      </c>
    </row>
    <row r="19" spans="1:20" x14ac:dyDescent="0.25">
      <c r="A19" s="3"/>
      <c r="B19" s="3" t="s">
        <v>57</v>
      </c>
      <c r="C19" t="s">
        <v>15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f t="shared" si="0"/>
        <v>0</v>
      </c>
      <c r="L19" s="7">
        <v>0</v>
      </c>
      <c r="M19" s="7"/>
      <c r="N19" s="7"/>
      <c r="O19" s="7"/>
      <c r="P19" s="7">
        <v>0</v>
      </c>
      <c r="Q19" s="7">
        <v>0</v>
      </c>
      <c r="R19" s="7">
        <v>0</v>
      </c>
      <c r="S19" s="7">
        <v>0</v>
      </c>
      <c r="T19" s="7">
        <v>0</v>
      </c>
    </row>
    <row r="20" spans="1:20" x14ac:dyDescent="0.25">
      <c r="A20" s="1" t="s">
        <v>70</v>
      </c>
      <c r="B20" s="1"/>
      <c r="C20" s="1"/>
      <c r="D20" s="24">
        <v>1684102.392908256</v>
      </c>
      <c r="E20" s="24">
        <v>107521.26590808231</v>
      </c>
      <c r="F20" s="24">
        <v>7127363.1941645835</v>
      </c>
      <c r="G20" s="24">
        <v>497940.49663421122</v>
      </c>
      <c r="H20" s="24">
        <v>3064014.271227438</v>
      </c>
      <c r="I20" s="24">
        <v>1944203.3001370209</v>
      </c>
      <c r="J20" s="24">
        <v>10225227.760197453</v>
      </c>
      <c r="K20" s="24">
        <f t="shared" si="0"/>
        <v>24650372.681177042</v>
      </c>
      <c r="L20" s="24">
        <v>12150829.752311554</v>
      </c>
      <c r="M20" s="24"/>
      <c r="N20" s="24"/>
      <c r="O20" s="24"/>
      <c r="P20" s="24">
        <v>22970726.262025442</v>
      </c>
      <c r="Q20" s="24">
        <v>403807.94267883769</v>
      </c>
      <c r="R20" s="24">
        <v>5832848.0041832076</v>
      </c>
      <c r="S20" s="24">
        <v>6615853.6098835059</v>
      </c>
      <c r="T20" s="24">
        <v>72624438.252259582</v>
      </c>
    </row>
    <row r="21" spans="1:20" x14ac:dyDescent="0.25">
      <c r="A21" s="5" t="s">
        <v>35</v>
      </c>
      <c r="B21" s="1"/>
      <c r="C21" s="1"/>
      <c r="D21" s="24">
        <v>1614838.1629888529</v>
      </c>
      <c r="E21" s="24">
        <v>121276.66571961284</v>
      </c>
      <c r="F21" s="24">
        <v>4294514.1379283117</v>
      </c>
      <c r="G21" s="24">
        <v>963347.1237140476</v>
      </c>
      <c r="H21" s="24">
        <v>1664672.3539019292</v>
      </c>
      <c r="I21" s="24">
        <v>3329094.9299679198</v>
      </c>
      <c r="J21" s="24">
        <v>21402432.323490225</v>
      </c>
      <c r="K21" s="24">
        <f t="shared" si="0"/>
        <v>33390175.697710898</v>
      </c>
      <c r="L21" s="24"/>
      <c r="M21" s="24"/>
      <c r="N21" s="24"/>
      <c r="O21" s="24"/>
      <c r="P21" s="24"/>
      <c r="Q21" s="24"/>
      <c r="R21" s="24"/>
      <c r="S21" s="24"/>
      <c r="T21" s="24">
        <v>33390175.697710898</v>
      </c>
    </row>
    <row r="22" spans="1:20" x14ac:dyDescent="0.25">
      <c r="A22" s="1" t="s">
        <v>71</v>
      </c>
      <c r="B22" s="1"/>
      <c r="C22" s="1"/>
      <c r="D22" s="24">
        <v>226565.23501583585</v>
      </c>
      <c r="E22" s="24">
        <v>4915.3695400935412</v>
      </c>
      <c r="F22" s="24">
        <v>243015.95141772262</v>
      </c>
      <c r="G22" s="24">
        <v>25522.534350374011</v>
      </c>
      <c r="H22" s="24">
        <v>150849.38755062106</v>
      </c>
      <c r="I22" s="24">
        <v>417819.09160247108</v>
      </c>
      <c r="J22" s="24">
        <v>1258626.5413813337</v>
      </c>
      <c r="K22" s="24">
        <f t="shared" si="0"/>
        <v>2327314.1108584516</v>
      </c>
      <c r="L22" s="24"/>
      <c r="M22" s="24"/>
      <c r="N22" s="24"/>
      <c r="O22" s="24"/>
      <c r="P22" s="24"/>
      <c r="Q22" s="24"/>
      <c r="R22" s="24"/>
      <c r="S22" s="24"/>
      <c r="T22" s="24">
        <v>2327314.110858452</v>
      </c>
    </row>
    <row r="32" spans="1:20" hidden="1" x14ac:dyDescent="0.25">
      <c r="B32" t="s">
        <v>27</v>
      </c>
      <c r="C32" t="s">
        <v>28</v>
      </c>
      <c r="D32" s="23">
        <f>D11/D$15</f>
        <v>0.99621207416370361</v>
      </c>
      <c r="E32" s="23">
        <f t="shared" ref="E32:M32" si="1">E11/E$15</f>
        <v>1.8831388763308743E-4</v>
      </c>
      <c r="F32" s="23">
        <f t="shared" si="1"/>
        <v>0.52255679524612564</v>
      </c>
      <c r="G32" s="23">
        <f t="shared" si="1"/>
        <v>3.8351223605924765E-2</v>
      </c>
      <c r="H32" s="23">
        <f t="shared" si="1"/>
        <v>5.1090570732386726E-5</v>
      </c>
      <c r="I32" s="23">
        <f t="shared" si="1"/>
        <v>6.6891680887266724E-3</v>
      </c>
      <c r="J32" s="23">
        <f t="shared" si="1"/>
        <v>6.200911209143567E-2</v>
      </c>
      <c r="K32" s="23">
        <f t="shared" si="1"/>
        <v>0.19482634618194675</v>
      </c>
      <c r="L32" s="23">
        <f t="shared" si="1"/>
        <v>0.27093430196197221</v>
      </c>
      <c r="M32" s="23">
        <f t="shared" si="1"/>
        <v>0.32699162471682619</v>
      </c>
      <c r="N32" s="23"/>
      <c r="O32" s="23"/>
      <c r="P32" s="23"/>
      <c r="Q32" s="23"/>
      <c r="R32" s="23"/>
      <c r="S32" s="23"/>
    </row>
    <row r="33" spans="2:19" hidden="1" x14ac:dyDescent="0.25">
      <c r="C33" t="s">
        <v>29</v>
      </c>
      <c r="D33" s="23">
        <f t="shared" ref="D33:M34" si="2">D12/D$15</f>
        <v>3.7879258362963782E-3</v>
      </c>
      <c r="E33" s="23">
        <f t="shared" si="2"/>
        <v>0.93779510790817033</v>
      </c>
      <c r="F33" s="23">
        <f t="shared" si="2"/>
        <v>6.3811354446396767E-2</v>
      </c>
      <c r="G33" s="23">
        <f t="shared" si="2"/>
        <v>0.24153558356044605</v>
      </c>
      <c r="H33" s="23">
        <f t="shared" si="2"/>
        <v>4.7018429007995226E-4</v>
      </c>
      <c r="I33" s="23">
        <f t="shared" si="2"/>
        <v>0.85466386527717608</v>
      </c>
      <c r="J33" s="23">
        <f t="shared" si="2"/>
        <v>2.3921409696862267E-2</v>
      </c>
      <c r="K33" s="23">
        <f t="shared" si="2"/>
        <v>0.11327527641739261</v>
      </c>
      <c r="L33" s="23">
        <f t="shared" si="2"/>
        <v>6.5214339235161525E-2</v>
      </c>
      <c r="M33" s="23">
        <f t="shared" si="2"/>
        <v>4.3170445164914577E-2</v>
      </c>
      <c r="N33" s="23"/>
      <c r="O33" s="23"/>
      <c r="P33" s="23"/>
      <c r="Q33" s="23"/>
      <c r="R33" s="23"/>
      <c r="S33" s="23"/>
    </row>
    <row r="34" spans="2:19" hidden="1" x14ac:dyDescent="0.25">
      <c r="C34" t="s">
        <v>30</v>
      </c>
      <c r="D34" s="23">
        <f t="shared" si="2"/>
        <v>0</v>
      </c>
      <c r="E34" s="23">
        <f t="shared" si="2"/>
        <v>6.2016578204196537E-2</v>
      </c>
      <c r="F34" s="23">
        <f t="shared" si="2"/>
        <v>0.41363185030747768</v>
      </c>
      <c r="G34" s="23">
        <f t="shared" si="2"/>
        <v>0.72011319283362918</v>
      </c>
      <c r="H34" s="23">
        <f t="shared" si="2"/>
        <v>0.99947872513918767</v>
      </c>
      <c r="I34" s="23">
        <f t="shared" si="2"/>
        <v>0.1386469666340974</v>
      </c>
      <c r="J34" s="23">
        <f t="shared" si="2"/>
        <v>0.91406947821170204</v>
      </c>
      <c r="K34" s="23">
        <f t="shared" si="2"/>
        <v>0.69189837740066062</v>
      </c>
      <c r="L34" s="23">
        <f t="shared" si="2"/>
        <v>0.66385135880286628</v>
      </c>
      <c r="M34" s="23">
        <f t="shared" si="2"/>
        <v>0.62983793011825917</v>
      </c>
      <c r="N34" s="23"/>
      <c r="O34" s="23"/>
      <c r="P34" s="23"/>
      <c r="Q34" s="23"/>
      <c r="R34" s="23"/>
      <c r="S34" s="23"/>
    </row>
    <row r="35" spans="2:19" hidden="1" x14ac:dyDescent="0.25">
      <c r="B35" t="s">
        <v>56</v>
      </c>
      <c r="C35" t="s">
        <v>15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spans="2:19" hidden="1" x14ac:dyDescent="0.25"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spans="2:19" hidden="1" x14ac:dyDescent="0.25">
      <c r="B37" t="s">
        <v>33</v>
      </c>
      <c r="C37" t="s">
        <v>28</v>
      </c>
      <c r="D37" s="23">
        <f>D16/D$20</f>
        <v>0.46807129046631113</v>
      </c>
      <c r="E37" s="23">
        <f t="shared" ref="E37:S37" si="3">E16/E$20</f>
        <v>1.6473301871973982E-2</v>
      </c>
      <c r="F37" s="23">
        <f t="shared" si="3"/>
        <v>0.37880213462167051</v>
      </c>
      <c r="G37" s="23">
        <f t="shared" si="3"/>
        <v>2.360382299559409E-2</v>
      </c>
      <c r="H37" s="23">
        <f t="shared" si="3"/>
        <v>2.724733966078427E-2</v>
      </c>
      <c r="I37" s="23">
        <f t="shared" si="3"/>
        <v>5.8761410903860452E-2</v>
      </c>
      <c r="J37" s="23">
        <f t="shared" si="3"/>
        <v>0.1444442386670389</v>
      </c>
      <c r="K37" s="23">
        <f t="shared" si="3"/>
        <v>0.20999157191892548</v>
      </c>
      <c r="L37" s="23">
        <f t="shared" si="3"/>
        <v>0.31616691998824409</v>
      </c>
      <c r="M37" s="23"/>
      <c r="N37" s="23"/>
      <c r="O37" s="23"/>
      <c r="P37" s="23">
        <f t="shared" si="3"/>
        <v>0.36358305622395587</v>
      </c>
      <c r="Q37" s="23">
        <f t="shared" si="3"/>
        <v>3.5574659197360615E-2</v>
      </c>
      <c r="R37" s="23">
        <f t="shared" si="3"/>
        <v>4.499554922353053E-2</v>
      </c>
      <c r="S37" s="23">
        <f t="shared" si="3"/>
        <v>2.9890205964842619E-2</v>
      </c>
    </row>
    <row r="38" spans="2:19" hidden="1" x14ac:dyDescent="0.25">
      <c r="C38" t="s">
        <v>29</v>
      </c>
      <c r="D38" s="23">
        <f t="shared" ref="D38:S39" si="4">D17/D$20</f>
        <v>0.20415932563760639</v>
      </c>
      <c r="E38" s="23">
        <f t="shared" si="4"/>
        <v>6.711493930534497E-2</v>
      </c>
      <c r="F38" s="23">
        <f t="shared" si="4"/>
        <v>6.6785009006244692E-2</v>
      </c>
      <c r="G38" s="23">
        <f t="shared" si="4"/>
        <v>9.5445253902343763E-2</v>
      </c>
      <c r="H38" s="23">
        <f t="shared" si="4"/>
        <v>8.5205936668944771E-2</v>
      </c>
      <c r="I38" s="23">
        <f t="shared" si="4"/>
        <v>2.8945622048816323E-2</v>
      </c>
      <c r="J38" s="23">
        <f t="shared" si="4"/>
        <v>3.9199695965896154E-2</v>
      </c>
      <c r="K38" s="23">
        <f t="shared" si="4"/>
        <v>6.4613334011604004E-2</v>
      </c>
      <c r="L38" s="23">
        <f t="shared" si="4"/>
        <v>4.2087733875268367E-2</v>
      </c>
      <c r="M38" s="23"/>
      <c r="N38" s="23"/>
      <c r="O38" s="23"/>
      <c r="P38" s="23">
        <f t="shared" si="4"/>
        <v>3.3880595440764848E-2</v>
      </c>
      <c r="Q38" s="23">
        <f t="shared" si="4"/>
        <v>7.3488253608538501E-3</v>
      </c>
      <c r="R38" s="23">
        <f t="shared" si="4"/>
        <v>0</v>
      </c>
      <c r="S38" s="23">
        <f t="shared" si="4"/>
        <v>1.3072575144117448E-2</v>
      </c>
    </row>
    <row r="39" spans="2:19" hidden="1" x14ac:dyDescent="0.25">
      <c r="C39" t="s">
        <v>30</v>
      </c>
      <c r="D39" s="23">
        <f t="shared" si="4"/>
        <v>0.32776938389608251</v>
      </c>
      <c r="E39" s="23">
        <f t="shared" si="4"/>
        <v>0.916411758822681</v>
      </c>
      <c r="F39" s="23">
        <f t="shared" si="4"/>
        <v>0.55441285637208493</v>
      </c>
      <c r="G39" s="23">
        <f t="shared" si="4"/>
        <v>0.88095092310206213</v>
      </c>
      <c r="H39" s="23">
        <f t="shared" si="4"/>
        <v>0.88754672367027099</v>
      </c>
      <c r="I39" s="23">
        <f t="shared" si="4"/>
        <v>0.91229296704732321</v>
      </c>
      <c r="J39" s="23">
        <f t="shared" si="4"/>
        <v>0.81635606536706484</v>
      </c>
      <c r="K39" s="23">
        <f t="shared" si="4"/>
        <v>0.72539509406947067</v>
      </c>
      <c r="L39" s="23">
        <f t="shared" si="4"/>
        <v>0.64174534613648759</v>
      </c>
      <c r="M39" s="23"/>
      <c r="N39" s="23"/>
      <c r="O39" s="23"/>
      <c r="P39" s="23">
        <f t="shared" si="4"/>
        <v>0.60253634833527936</v>
      </c>
      <c r="Q39" s="23">
        <f t="shared" si="4"/>
        <v>0.95707651544178551</v>
      </c>
      <c r="R39" s="23">
        <f t="shared" si="4"/>
        <v>0.95500445077646945</v>
      </c>
      <c r="S39" s="23">
        <f t="shared" si="4"/>
        <v>0.95703721889103988</v>
      </c>
    </row>
  </sheetData>
  <hyperlinks>
    <hyperlink ref="K1" location="Contenido!A1" display="Contenido" xr:uid="{CF28E1D7-E2AF-4A88-90A4-5A1FE2DEE207}"/>
  </hyperlinks>
  <pageMargins left="0.7" right="0.7" top="0.75" bottom="0.75" header="0.3" footer="0.3"/>
  <pageSetup scale="3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3C6A-B3D6-4C1B-A55A-7D289CD1D61D}">
  <sheetPr>
    <pageSetUpPr fitToPage="1"/>
  </sheetPr>
  <dimension ref="A1:R42"/>
  <sheetViews>
    <sheetView topLeftCell="B7" workbookViewId="0">
      <selection activeCell="K13" sqref="K13"/>
    </sheetView>
  </sheetViews>
  <sheetFormatPr defaultRowHeight="15" x14ac:dyDescent="0.25"/>
  <cols>
    <col min="1" max="1" width="12.5703125" bestFit="1" customWidth="1"/>
    <col min="2" max="2" width="32" customWidth="1"/>
    <col min="3" max="3" width="22.28515625" bestFit="1" customWidth="1"/>
    <col min="4" max="18" width="15.7109375" customWidth="1"/>
  </cols>
  <sheetData>
    <row r="1" spans="1:18" x14ac:dyDescent="0.25">
      <c r="A1" s="22" t="s">
        <v>61</v>
      </c>
      <c r="K1" s="28" t="s">
        <v>122</v>
      </c>
    </row>
    <row r="2" spans="1:18" x14ac:dyDescent="0.25">
      <c r="A2" s="22" t="s">
        <v>118</v>
      </c>
    </row>
    <row r="3" spans="1:18" x14ac:dyDescent="0.25">
      <c r="A3" s="22" t="s">
        <v>85</v>
      </c>
    </row>
    <row r="4" spans="1:18" x14ac:dyDescent="0.25">
      <c r="A4" s="22" t="s">
        <v>41</v>
      </c>
    </row>
    <row r="5" spans="1:18" x14ac:dyDescent="0.25">
      <c r="A5" s="3" t="s">
        <v>60</v>
      </c>
    </row>
    <row r="6" spans="1:18" x14ac:dyDescent="0.25">
      <c r="A6" s="27" t="s">
        <v>103</v>
      </c>
    </row>
    <row r="8" spans="1:18" s="12" customFormat="1" ht="75" x14ac:dyDescent="0.25">
      <c r="A8" s="9"/>
      <c r="B8" s="9"/>
      <c r="C8" s="9"/>
      <c r="D8" s="9" t="s">
        <v>1</v>
      </c>
      <c r="E8" s="9"/>
      <c r="F8" s="9"/>
      <c r="G8" s="9"/>
      <c r="H8" s="9"/>
      <c r="I8" s="9"/>
      <c r="J8" s="9"/>
      <c r="K8" s="9"/>
      <c r="L8" s="9" t="s">
        <v>2</v>
      </c>
      <c r="M8" s="9" t="s">
        <v>3</v>
      </c>
      <c r="N8" s="9" t="s">
        <v>4</v>
      </c>
      <c r="O8" s="9" t="s">
        <v>5</v>
      </c>
      <c r="P8" s="9" t="s">
        <v>6</v>
      </c>
      <c r="Q8" s="9" t="s">
        <v>7</v>
      </c>
      <c r="R8" s="9"/>
    </row>
    <row r="9" spans="1:18" x14ac:dyDescent="0.25">
      <c r="A9" s="1"/>
      <c r="B9" s="1"/>
      <c r="C9" s="1"/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/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9"/>
    </row>
    <row r="10" spans="1:18" ht="60" x14ac:dyDescent="0.25">
      <c r="A10" s="2" t="s">
        <v>16</v>
      </c>
      <c r="B10" s="2"/>
      <c r="C10" s="2" t="s">
        <v>18</v>
      </c>
      <c r="D10" s="6" t="s">
        <v>19</v>
      </c>
      <c r="E10" s="6" t="s">
        <v>20</v>
      </c>
      <c r="F10" s="6" t="s">
        <v>21</v>
      </c>
      <c r="G10" s="6" t="s">
        <v>22</v>
      </c>
      <c r="H10" s="6" t="s">
        <v>23</v>
      </c>
      <c r="I10" s="6" t="s">
        <v>24</v>
      </c>
      <c r="J10" s="6" t="s">
        <v>25</v>
      </c>
      <c r="K10" s="2" t="s">
        <v>87</v>
      </c>
      <c r="L10" s="6" t="s">
        <v>15</v>
      </c>
      <c r="M10" s="6" t="s">
        <v>15</v>
      </c>
      <c r="N10" s="6" t="s">
        <v>15</v>
      </c>
      <c r="O10" s="6" t="s">
        <v>15</v>
      </c>
      <c r="P10" s="6" t="s">
        <v>15</v>
      </c>
      <c r="Q10" s="6" t="s">
        <v>15</v>
      </c>
      <c r="R10" s="2"/>
    </row>
    <row r="11" spans="1:18" x14ac:dyDescent="0.25">
      <c r="A11" s="3" t="s">
        <v>26</v>
      </c>
      <c r="B11" s="3" t="s">
        <v>27</v>
      </c>
      <c r="C11" t="s">
        <v>28</v>
      </c>
      <c r="D11" s="7">
        <v>259361.27851592959</v>
      </c>
      <c r="E11" s="7">
        <v>0</v>
      </c>
      <c r="F11" s="7">
        <v>498485.59730279341</v>
      </c>
      <c r="G11" s="7">
        <v>0</v>
      </c>
      <c r="H11" s="7">
        <v>0</v>
      </c>
      <c r="I11" s="7">
        <v>0</v>
      </c>
      <c r="J11" s="7">
        <v>4.8260709029527291</v>
      </c>
      <c r="K11" s="7">
        <f>SUM(D11:J11)</f>
        <v>757851.70188962598</v>
      </c>
      <c r="L11" s="7">
        <v>126322.01330205382</v>
      </c>
      <c r="M11" s="7">
        <v>0</v>
      </c>
      <c r="N11" s="7">
        <v>75536.056109191501</v>
      </c>
      <c r="O11" s="7">
        <v>292867.58838183561</v>
      </c>
      <c r="P11" s="7">
        <v>0</v>
      </c>
      <c r="Q11" s="7">
        <v>0</v>
      </c>
      <c r="R11" s="7">
        <v>1252577.3596827067</v>
      </c>
    </row>
    <row r="12" spans="1:18" x14ac:dyDescent="0.25">
      <c r="A12" s="3"/>
      <c r="B12" s="3"/>
      <c r="C12" t="s">
        <v>29</v>
      </c>
      <c r="D12" s="7">
        <v>10007.478880477784</v>
      </c>
      <c r="E12" s="7">
        <v>0</v>
      </c>
      <c r="F12" s="7">
        <v>139799.85534716674</v>
      </c>
      <c r="G12" s="7">
        <v>12522.462680953555</v>
      </c>
      <c r="H12" s="7">
        <v>0</v>
      </c>
      <c r="I12" s="7">
        <v>3277.4521998989198</v>
      </c>
      <c r="J12" s="7">
        <v>624243.9732157588</v>
      </c>
      <c r="K12" s="7">
        <f t="shared" ref="K12:K24" si="0">SUM(D12:J12)</f>
        <v>789851.22232425585</v>
      </c>
      <c r="L12" s="7">
        <v>113669.93991159447</v>
      </c>
      <c r="M12" s="7">
        <v>0</v>
      </c>
      <c r="N12" s="7">
        <v>35269.640781163558</v>
      </c>
      <c r="O12" s="7">
        <v>42407.059796526286</v>
      </c>
      <c r="P12" s="7">
        <v>0</v>
      </c>
      <c r="Q12" s="7">
        <v>0</v>
      </c>
      <c r="R12" s="7">
        <v>981197.86281354015</v>
      </c>
    </row>
    <row r="13" spans="1:18" x14ac:dyDescent="0.25">
      <c r="A13" s="3"/>
      <c r="B13" s="3"/>
      <c r="C13" t="s">
        <v>30</v>
      </c>
      <c r="D13" s="7">
        <v>0</v>
      </c>
      <c r="E13" s="7">
        <v>103258.24953394377</v>
      </c>
      <c r="F13" s="7">
        <v>474290.08001676959</v>
      </c>
      <c r="G13" s="7">
        <v>118511.37516229828</v>
      </c>
      <c r="H13" s="7">
        <v>655446.59832418244</v>
      </c>
      <c r="I13" s="7">
        <v>527475.30035706481</v>
      </c>
      <c r="J13" s="7">
        <v>1708891.7951516521</v>
      </c>
      <c r="K13" s="7">
        <f t="shared" si="0"/>
        <v>3587873.3985459106</v>
      </c>
      <c r="L13" s="7">
        <v>725171.75810199126</v>
      </c>
      <c r="M13" s="7">
        <v>-60071.529451164497</v>
      </c>
      <c r="N13" s="7">
        <v>135611.41767656495</v>
      </c>
      <c r="O13" s="7">
        <v>-335274.6481783624</v>
      </c>
      <c r="P13" s="7">
        <v>0</v>
      </c>
      <c r="Q13" s="7">
        <v>0</v>
      </c>
      <c r="R13" s="7">
        <v>4113381.9261461045</v>
      </c>
    </row>
    <row r="14" spans="1:18" x14ac:dyDescent="0.25">
      <c r="A14" s="3"/>
      <c r="B14" s="3" t="s">
        <v>3</v>
      </c>
      <c r="C14" t="s">
        <v>15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f t="shared" si="0"/>
        <v>0</v>
      </c>
      <c r="L14" s="7">
        <v>-60071.529451164497</v>
      </c>
      <c r="M14" s="7">
        <v>60071.529451164497</v>
      </c>
      <c r="N14" s="7">
        <v>0</v>
      </c>
      <c r="O14" s="7">
        <v>0</v>
      </c>
      <c r="P14" s="7"/>
      <c r="Q14" s="7"/>
      <c r="R14" s="7">
        <v>0</v>
      </c>
    </row>
    <row r="15" spans="1:18" x14ac:dyDescent="0.25">
      <c r="A15" s="3"/>
      <c r="B15" s="3" t="s">
        <v>15</v>
      </c>
      <c r="C15" t="s">
        <v>15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f t="shared" si="0"/>
        <v>0</v>
      </c>
      <c r="L15" s="7">
        <v>4452.36296920122</v>
      </c>
      <c r="M15" s="7">
        <v>0</v>
      </c>
      <c r="N15" s="7">
        <v>0</v>
      </c>
      <c r="O15" s="7">
        <v>0</v>
      </c>
      <c r="P15" s="7"/>
      <c r="Q15" s="7"/>
      <c r="R15" s="7">
        <v>4452.36296920122</v>
      </c>
    </row>
    <row r="16" spans="1:18" x14ac:dyDescent="0.25">
      <c r="A16" s="5" t="s">
        <v>68</v>
      </c>
      <c r="B16" s="5"/>
      <c r="C16" s="5"/>
      <c r="D16" s="8">
        <v>269368.75739640737</v>
      </c>
      <c r="E16" s="8">
        <v>103258.24953394377</v>
      </c>
      <c r="F16" s="8">
        <v>1112575.5326667298</v>
      </c>
      <c r="G16" s="8">
        <v>131033.83784325184</v>
      </c>
      <c r="H16" s="8">
        <v>655446.59832418244</v>
      </c>
      <c r="I16" s="8">
        <v>530752.75255696371</v>
      </c>
      <c r="J16" s="8">
        <v>2333140.594438314</v>
      </c>
      <c r="K16" s="8">
        <f t="shared" si="0"/>
        <v>5135576.3227597931</v>
      </c>
      <c r="L16" s="8">
        <f>SUM(L11:L13)</f>
        <v>965163.71131563955</v>
      </c>
      <c r="M16" s="8">
        <v>-2.1827872842550278E-11</v>
      </c>
      <c r="N16" s="8">
        <v>246417.11456691998</v>
      </c>
      <c r="O16" s="8">
        <v>-6.4028427004814148E-10</v>
      </c>
      <c r="P16" s="8"/>
      <c r="Q16" s="8"/>
      <c r="R16" s="8">
        <v>6347157.1486423519</v>
      </c>
    </row>
    <row r="17" spans="1:18" x14ac:dyDescent="0.25">
      <c r="A17" s="3" t="s">
        <v>32</v>
      </c>
      <c r="B17" s="3" t="s">
        <v>33</v>
      </c>
      <c r="C17" t="s">
        <v>28</v>
      </c>
      <c r="D17" s="7">
        <v>35469.907710641302</v>
      </c>
      <c r="E17" s="7">
        <v>5.5703962944711503</v>
      </c>
      <c r="F17" s="7">
        <v>218311.62016832241</v>
      </c>
      <c r="G17" s="7">
        <v>23.276693323012534</v>
      </c>
      <c r="H17" s="7">
        <v>3426.3628867367993</v>
      </c>
      <c r="I17" s="7">
        <v>163.83122062399701</v>
      </c>
      <c r="J17" s="7">
        <v>80812.874501544764</v>
      </c>
      <c r="K17" s="7">
        <f t="shared" si="0"/>
        <v>338213.44357748679</v>
      </c>
      <c r="L17" s="7">
        <v>109036.58386596182</v>
      </c>
      <c r="M17" s="7"/>
      <c r="N17" s="7"/>
      <c r="O17" s="7"/>
      <c r="P17" s="7">
        <v>797079.39341601578</v>
      </c>
      <c r="Q17" s="7">
        <v>8247.9388232430483</v>
      </c>
      <c r="R17" s="7">
        <v>1252577.3596827073</v>
      </c>
    </row>
    <row r="18" spans="1:18" x14ac:dyDescent="0.25">
      <c r="A18" s="3"/>
      <c r="B18" s="3"/>
      <c r="C18" t="s">
        <v>29</v>
      </c>
      <c r="D18" s="7">
        <v>34520.012333248349</v>
      </c>
      <c r="E18" s="7">
        <v>16629.949243319323</v>
      </c>
      <c r="F18" s="7">
        <v>83123.438294566513</v>
      </c>
      <c r="G18" s="7">
        <v>21631.390373334307</v>
      </c>
      <c r="H18" s="7">
        <v>18796.251975152954</v>
      </c>
      <c r="I18" s="7">
        <v>41702.679200977385</v>
      </c>
      <c r="J18" s="7">
        <v>196868.77708089334</v>
      </c>
      <c r="K18" s="7">
        <f t="shared" si="0"/>
        <v>413272.4985014922</v>
      </c>
      <c r="L18" s="7">
        <v>211056.94638820371</v>
      </c>
      <c r="M18" s="7"/>
      <c r="N18" s="7"/>
      <c r="O18" s="7"/>
      <c r="P18" s="7">
        <v>355250.2871621548</v>
      </c>
      <c r="Q18" s="7">
        <v>1618.1307884551052</v>
      </c>
      <c r="R18" s="7">
        <v>981197.86284030578</v>
      </c>
    </row>
    <row r="19" spans="1:18" x14ac:dyDescent="0.25">
      <c r="A19" s="3"/>
      <c r="B19" s="3"/>
      <c r="C19" t="s">
        <v>30</v>
      </c>
      <c r="D19" s="7">
        <v>7324.1105237430302</v>
      </c>
      <c r="E19" s="7">
        <v>17651.077883393846</v>
      </c>
      <c r="F19" s="7">
        <v>308314.81520269503</v>
      </c>
      <c r="G19" s="7">
        <v>49158.924951695677</v>
      </c>
      <c r="H19" s="7">
        <v>303512.96456365712</v>
      </c>
      <c r="I19" s="7">
        <v>114739.96654529026</v>
      </c>
      <c r="J19" s="7">
        <v>342513.12287451117</v>
      </c>
      <c r="K19" s="7">
        <f t="shared" si="0"/>
        <v>1143214.9825449861</v>
      </c>
      <c r="L19" s="7">
        <v>513696.47166304977</v>
      </c>
      <c r="M19" s="7"/>
      <c r="N19" s="7"/>
      <c r="O19" s="7"/>
      <c r="P19" s="7">
        <v>1665229.0669507876</v>
      </c>
      <c r="Q19" s="7">
        <v>791241.40462806984</v>
      </c>
      <c r="R19" s="7">
        <v>4113381.9257868933</v>
      </c>
    </row>
    <row r="20" spans="1:18" x14ac:dyDescent="0.25">
      <c r="A20" s="3"/>
      <c r="B20" s="3" t="s">
        <v>3</v>
      </c>
      <c r="C20" t="s">
        <v>15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f t="shared" si="0"/>
        <v>0</v>
      </c>
      <c r="L20" s="7">
        <v>0</v>
      </c>
      <c r="M20" s="7"/>
      <c r="N20" s="7"/>
      <c r="O20" s="7"/>
      <c r="P20" s="7">
        <v>0</v>
      </c>
      <c r="Q20" s="7">
        <v>0</v>
      </c>
      <c r="R20" s="7">
        <v>0</v>
      </c>
    </row>
    <row r="21" spans="1:18" x14ac:dyDescent="0.25">
      <c r="A21" s="3"/>
      <c r="B21" s="3" t="s">
        <v>34</v>
      </c>
      <c r="C21" t="s">
        <v>15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f t="shared" si="0"/>
        <v>0</v>
      </c>
      <c r="L21" s="7">
        <v>29568.311506992999</v>
      </c>
      <c r="M21" s="7"/>
      <c r="N21" s="7"/>
      <c r="O21" s="7"/>
      <c r="P21" s="7">
        <v>-25115.948537791799</v>
      </c>
      <c r="Q21" s="7">
        <v>0</v>
      </c>
      <c r="R21" s="7">
        <v>4452.3629692012</v>
      </c>
    </row>
    <row r="22" spans="1:18" x14ac:dyDescent="0.25">
      <c r="A22" s="5" t="s">
        <v>70</v>
      </c>
      <c r="B22" s="5"/>
      <c r="C22" s="5"/>
      <c r="D22" s="8">
        <v>77314.030567632683</v>
      </c>
      <c r="E22" s="8">
        <v>34286.597523007644</v>
      </c>
      <c r="F22" s="8">
        <v>609749.87366558402</v>
      </c>
      <c r="G22" s="8">
        <v>70813.592018352996</v>
      </c>
      <c r="H22" s="8">
        <v>325735.57942554686</v>
      </c>
      <c r="I22" s="8">
        <v>156606.47696689164</v>
      </c>
      <c r="J22" s="8">
        <v>620194.77445694921</v>
      </c>
      <c r="K22" s="8">
        <f t="shared" si="0"/>
        <v>1894700.9246239651</v>
      </c>
      <c r="L22" s="8">
        <v>833790.00191721541</v>
      </c>
      <c r="M22" s="8"/>
      <c r="N22" s="8"/>
      <c r="O22" s="8"/>
      <c r="P22" s="8">
        <v>2817558.7475289591</v>
      </c>
      <c r="Q22" s="8">
        <v>801107.47423976788</v>
      </c>
      <c r="R22" s="8">
        <v>6347157.1483099069</v>
      </c>
    </row>
    <row r="23" spans="1:18" x14ac:dyDescent="0.25">
      <c r="A23" s="5" t="s">
        <v>35</v>
      </c>
      <c r="B23" s="5"/>
      <c r="C23" s="5"/>
      <c r="D23" s="8">
        <v>192054.72682877487</v>
      </c>
      <c r="E23" s="8">
        <v>68971.652010935999</v>
      </c>
      <c r="F23" s="8">
        <v>502825.65900114609</v>
      </c>
      <c r="G23" s="8">
        <v>60220.245824899292</v>
      </c>
      <c r="H23" s="8">
        <v>329711.01889863616</v>
      </c>
      <c r="I23" s="8">
        <v>374146.27559007198</v>
      </c>
      <c r="J23" s="8">
        <v>1712945.819981365</v>
      </c>
      <c r="K23" s="8">
        <f t="shared" si="0"/>
        <v>3240875.3981358293</v>
      </c>
      <c r="L23" s="8"/>
      <c r="M23" s="8"/>
      <c r="N23" s="8"/>
      <c r="O23" s="8"/>
      <c r="P23" s="8"/>
      <c r="Q23" s="8"/>
      <c r="R23" s="8">
        <v>3240875.3981358293</v>
      </c>
    </row>
    <row r="24" spans="1:18" x14ac:dyDescent="0.25">
      <c r="A24" s="5" t="s">
        <v>71</v>
      </c>
      <c r="B24" s="5"/>
      <c r="C24" s="5"/>
      <c r="D24" s="8">
        <v>573019</v>
      </c>
      <c r="E24" s="8">
        <v>5787.71250604135</v>
      </c>
      <c r="F24" s="8">
        <v>465859.59055451822</v>
      </c>
      <c r="G24" s="8">
        <v>34981.809576761501</v>
      </c>
      <c r="H24" s="8">
        <v>337034.16548482399</v>
      </c>
      <c r="I24" s="8">
        <v>821555.16000922304</v>
      </c>
      <c r="J24" s="8">
        <v>2338004.1893636351</v>
      </c>
      <c r="K24" s="8">
        <f t="shared" si="0"/>
        <v>4576241.6274950029</v>
      </c>
      <c r="L24" s="8"/>
      <c r="M24" s="8"/>
      <c r="N24" s="8"/>
      <c r="O24" s="8"/>
      <c r="P24" s="8"/>
      <c r="Q24" s="8"/>
      <c r="R24" s="8">
        <v>4576241.6274950029</v>
      </c>
    </row>
    <row r="34" spans="2:17" hidden="1" x14ac:dyDescent="0.25">
      <c r="B34" t="s">
        <v>27</v>
      </c>
      <c r="C34" t="s">
        <v>28</v>
      </c>
      <c r="D34" s="13">
        <f>D11/D$16</f>
        <v>0.96284840537111505</v>
      </c>
      <c r="E34" s="13">
        <f t="shared" ref="E34:N34" si="1">E11/E$16</f>
        <v>0</v>
      </c>
      <c r="F34" s="13">
        <f t="shared" si="1"/>
        <v>0.4480465214869272</v>
      </c>
      <c r="G34" s="13">
        <f t="shared" si="1"/>
        <v>0</v>
      </c>
      <c r="H34" s="13">
        <f t="shared" si="1"/>
        <v>0</v>
      </c>
      <c r="I34" s="13">
        <f t="shared" si="1"/>
        <v>0</v>
      </c>
      <c r="J34" s="13">
        <f t="shared" si="1"/>
        <v>2.0684869632190207E-6</v>
      </c>
      <c r="K34" s="13">
        <f t="shared" si="1"/>
        <v>0.14756896875059314</v>
      </c>
      <c r="L34" s="13">
        <f t="shared" si="1"/>
        <v>0.13088143681848649</v>
      </c>
      <c r="M34" s="13"/>
      <c r="N34" s="13">
        <f t="shared" si="1"/>
        <v>0.30653737765717576</v>
      </c>
      <c r="O34" s="13"/>
      <c r="P34" s="13"/>
      <c r="Q34" s="13"/>
    </row>
    <row r="35" spans="2:17" hidden="1" x14ac:dyDescent="0.25">
      <c r="C35" t="s">
        <v>29</v>
      </c>
      <c r="D35" s="13">
        <f t="shared" ref="D35:N36" si="2">D12/D$16</f>
        <v>3.7151594628884961E-2</v>
      </c>
      <c r="E35" s="13">
        <f t="shared" si="2"/>
        <v>0</v>
      </c>
      <c r="F35" s="13">
        <f t="shared" si="2"/>
        <v>0.12565426008612718</v>
      </c>
      <c r="G35" s="13">
        <f t="shared" si="2"/>
        <v>9.5566632917624295E-2</v>
      </c>
      <c r="H35" s="13">
        <f t="shared" si="2"/>
        <v>0</v>
      </c>
      <c r="I35" s="13">
        <f t="shared" si="2"/>
        <v>6.1751016534712429E-3</v>
      </c>
      <c r="J35" s="13">
        <f t="shared" si="2"/>
        <v>0.26755523207809123</v>
      </c>
      <c r="K35" s="13">
        <f t="shared" si="2"/>
        <v>0.1537999189738066</v>
      </c>
      <c r="L35" s="13">
        <f t="shared" si="2"/>
        <v>0.11777270382104196</v>
      </c>
      <c r="M35" s="13"/>
      <c r="N35" s="13">
        <f t="shared" si="2"/>
        <v>0.1431298343183274</v>
      </c>
      <c r="O35" s="13"/>
      <c r="P35" s="13"/>
      <c r="Q35" s="13"/>
    </row>
    <row r="36" spans="2:17" hidden="1" x14ac:dyDescent="0.25">
      <c r="C36" t="s">
        <v>30</v>
      </c>
      <c r="D36" s="13">
        <f t="shared" si="2"/>
        <v>0</v>
      </c>
      <c r="E36" s="13">
        <f t="shared" si="2"/>
        <v>1</v>
      </c>
      <c r="F36" s="13">
        <f t="shared" si="2"/>
        <v>0.42629921842694563</v>
      </c>
      <c r="G36" s="13">
        <f t="shared" si="2"/>
        <v>0.90443336708237576</v>
      </c>
      <c r="H36" s="13">
        <f t="shared" si="2"/>
        <v>1</v>
      </c>
      <c r="I36" s="13">
        <f t="shared" si="2"/>
        <v>0.99382489834652876</v>
      </c>
      <c r="J36" s="13">
        <f t="shared" si="2"/>
        <v>0.73244269943494544</v>
      </c>
      <c r="K36" s="13">
        <f t="shared" si="2"/>
        <v>0.69863111227560015</v>
      </c>
      <c r="L36" s="13">
        <f t="shared" si="2"/>
        <v>0.75134585936047149</v>
      </c>
      <c r="M36" s="13"/>
      <c r="N36" s="13">
        <f t="shared" si="2"/>
        <v>0.55033278802449692</v>
      </c>
      <c r="O36" s="13"/>
      <c r="P36" s="13"/>
      <c r="Q36" s="13"/>
    </row>
    <row r="37" spans="2:17" hidden="1" x14ac:dyDescent="0.25">
      <c r="B37" t="s">
        <v>3</v>
      </c>
      <c r="C37" t="s">
        <v>15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2:17" hidden="1" x14ac:dyDescent="0.25">
      <c r="B38" t="s">
        <v>15</v>
      </c>
      <c r="C38" t="s">
        <v>15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2:17" hidden="1" x14ac:dyDescent="0.25"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2:17" hidden="1" x14ac:dyDescent="0.25">
      <c r="B40" t="s">
        <v>33</v>
      </c>
      <c r="C40" t="s">
        <v>28</v>
      </c>
      <c r="D40" s="13">
        <f>D17/D$22</f>
        <v>0.45877711264338983</v>
      </c>
      <c r="E40" s="13">
        <f t="shared" ref="E40:Q40" si="3">E17/E$22</f>
        <v>1.6246570662875479E-4</v>
      </c>
      <c r="F40" s="13">
        <f t="shared" si="3"/>
        <v>0.35803471160381894</v>
      </c>
      <c r="G40" s="13">
        <f t="shared" si="3"/>
        <v>3.2870375106773054E-4</v>
      </c>
      <c r="H40" s="13">
        <f t="shared" si="3"/>
        <v>1.051884750440644E-2</v>
      </c>
      <c r="I40" s="13">
        <f t="shared" si="3"/>
        <v>1.0461331089047662E-3</v>
      </c>
      <c r="J40" s="13">
        <f t="shared" si="3"/>
        <v>0.1303024111615671</v>
      </c>
      <c r="K40" s="13">
        <f t="shared" si="3"/>
        <v>0.17850492348527822</v>
      </c>
      <c r="L40" s="13">
        <f t="shared" si="3"/>
        <v>0.13077223715233244</v>
      </c>
      <c r="M40" s="13"/>
      <c r="N40" s="13"/>
      <c r="O40" s="13"/>
      <c r="P40" s="13">
        <f t="shared" si="3"/>
        <v>0.28289716908833445</v>
      </c>
      <c r="Q40" s="13">
        <f t="shared" si="3"/>
        <v>1.0295670791325656E-2</v>
      </c>
    </row>
    <row r="41" spans="2:17" hidden="1" x14ac:dyDescent="0.25">
      <c r="C41" t="s">
        <v>29</v>
      </c>
      <c r="D41" s="13">
        <f t="shared" ref="D41:Q42" si="4">D18/D$22</f>
        <v>0.44649091607054392</v>
      </c>
      <c r="E41" s="13">
        <f t="shared" si="4"/>
        <v>0.48502769142257346</v>
      </c>
      <c r="F41" s="13">
        <f t="shared" si="4"/>
        <v>0.13632383028611397</v>
      </c>
      <c r="G41" s="13">
        <f t="shared" si="4"/>
        <v>0.30546946930369001</v>
      </c>
      <c r="H41" s="13">
        <f t="shared" si="4"/>
        <v>5.7704018726788181E-2</v>
      </c>
      <c r="I41" s="13">
        <f t="shared" si="4"/>
        <v>0.2662896197441042</v>
      </c>
      <c r="J41" s="13">
        <f t="shared" si="4"/>
        <v>0.31743056405670989</v>
      </c>
      <c r="K41" s="13">
        <f t="shared" si="4"/>
        <v>0.21812017565965616</v>
      </c>
      <c r="L41" s="13">
        <f t="shared" si="4"/>
        <v>0.25312962005169132</v>
      </c>
      <c r="M41" s="13"/>
      <c r="N41" s="13"/>
      <c r="O41" s="13"/>
      <c r="P41" s="13">
        <f t="shared" si="4"/>
        <v>0.12608442946352569</v>
      </c>
      <c r="Q41" s="13">
        <f t="shared" si="4"/>
        <v>2.019867296820159E-3</v>
      </c>
    </row>
    <row r="42" spans="2:17" hidden="1" x14ac:dyDescent="0.25">
      <c r="C42" t="s">
        <v>30</v>
      </c>
      <c r="D42" s="13">
        <f t="shared" si="4"/>
        <v>9.473197128606628E-2</v>
      </c>
      <c r="E42" s="13">
        <f t="shared" si="4"/>
        <v>0.51480984287079767</v>
      </c>
      <c r="F42" s="13">
        <f t="shared" si="4"/>
        <v>0.505641458110067</v>
      </c>
      <c r="G42" s="13">
        <f t="shared" si="4"/>
        <v>0.69420182694524224</v>
      </c>
      <c r="H42" s="13">
        <f t="shared" si="4"/>
        <v>0.93177713376880544</v>
      </c>
      <c r="I42" s="13">
        <f t="shared" si="4"/>
        <v>0.73266424714699108</v>
      </c>
      <c r="J42" s="13">
        <f t="shared" si="4"/>
        <v>0.55226702478172318</v>
      </c>
      <c r="K42" s="13">
        <f t="shared" si="4"/>
        <v>0.60337490085506562</v>
      </c>
      <c r="L42" s="13">
        <f t="shared" si="4"/>
        <v>0.61609814279597608</v>
      </c>
      <c r="M42" s="13"/>
      <c r="N42" s="13"/>
      <c r="O42" s="13"/>
      <c r="P42" s="13">
        <f t="shared" si="4"/>
        <v>0.59101840144813955</v>
      </c>
      <c r="Q42" s="13">
        <f t="shared" si="4"/>
        <v>0.98768446191185433</v>
      </c>
    </row>
  </sheetData>
  <hyperlinks>
    <hyperlink ref="K1" location="Contenido!A1" display="Contenido" xr:uid="{64361E63-5D58-4C1E-8BE2-0C3D61A3362F}"/>
  </hyperlinks>
  <pageMargins left="0.7" right="0.7" top="0.75" bottom="0.75" header="0.3" footer="0.3"/>
  <pageSetup scale="4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B85B-DAEC-4987-B3C3-B7E9A4B5FA00}">
  <sheetPr>
    <pageSetUpPr fitToPage="1"/>
  </sheetPr>
  <dimension ref="A1:R39"/>
  <sheetViews>
    <sheetView workbookViewId="0">
      <selection activeCell="B12" sqref="B12"/>
    </sheetView>
  </sheetViews>
  <sheetFormatPr defaultRowHeight="15" x14ac:dyDescent="0.25"/>
  <cols>
    <col min="1" max="1" width="14.7109375" bestFit="1" customWidth="1"/>
    <col min="2" max="2" width="22.42578125" customWidth="1"/>
    <col min="3" max="3" width="24.5703125" bestFit="1" customWidth="1"/>
    <col min="4" max="18" width="15.7109375" customWidth="1"/>
  </cols>
  <sheetData>
    <row r="1" spans="1:18" x14ac:dyDescent="0.25">
      <c r="A1" s="22" t="s">
        <v>63</v>
      </c>
      <c r="K1" s="28" t="s">
        <v>122</v>
      </c>
    </row>
    <row r="2" spans="1:18" x14ac:dyDescent="0.25">
      <c r="A2" s="22" t="s">
        <v>118</v>
      </c>
    </row>
    <row r="3" spans="1:18" x14ac:dyDescent="0.25">
      <c r="A3" s="22" t="s">
        <v>64</v>
      </c>
    </row>
    <row r="4" spans="1:18" x14ac:dyDescent="0.25">
      <c r="A4" s="22" t="s">
        <v>41</v>
      </c>
    </row>
    <row r="5" spans="1:18" x14ac:dyDescent="0.25">
      <c r="A5" s="22" t="s">
        <v>73</v>
      </c>
    </row>
    <row r="6" spans="1:18" x14ac:dyDescent="0.25">
      <c r="A6" s="27" t="s">
        <v>103</v>
      </c>
    </row>
    <row r="8" spans="1:18" s="12" customFormat="1" ht="75" x14ac:dyDescent="0.25">
      <c r="A8" s="9"/>
      <c r="B8" s="9"/>
      <c r="C8" s="9"/>
      <c r="D8" s="9" t="s">
        <v>1</v>
      </c>
      <c r="E8" s="9"/>
      <c r="F8" s="9"/>
      <c r="G8" s="9"/>
      <c r="H8" s="9"/>
      <c r="I8" s="9"/>
      <c r="J8" s="9"/>
      <c r="K8" s="9"/>
      <c r="L8" s="9" t="s">
        <v>2</v>
      </c>
      <c r="M8" s="9" t="s">
        <v>3</v>
      </c>
      <c r="N8" s="9" t="s">
        <v>4</v>
      </c>
      <c r="O8" s="9" t="s">
        <v>5</v>
      </c>
      <c r="P8" s="9" t="s">
        <v>6</v>
      </c>
      <c r="Q8" s="9" t="s">
        <v>7</v>
      </c>
      <c r="R8" s="9"/>
    </row>
    <row r="9" spans="1:18" x14ac:dyDescent="0.25">
      <c r="A9" s="1"/>
      <c r="B9" s="1"/>
      <c r="C9" s="1"/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/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1"/>
    </row>
    <row r="10" spans="1:18" s="12" customFormat="1" ht="60" x14ac:dyDescent="0.25">
      <c r="A10" s="2" t="s">
        <v>16</v>
      </c>
      <c r="B10" s="2"/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87</v>
      </c>
      <c r="L10" s="2" t="s">
        <v>15</v>
      </c>
      <c r="M10" s="2" t="s">
        <v>15</v>
      </c>
      <c r="N10" s="2" t="s">
        <v>15</v>
      </c>
      <c r="O10" s="2" t="s">
        <v>15</v>
      </c>
      <c r="P10" s="2" t="s">
        <v>15</v>
      </c>
      <c r="Q10" s="2" t="s">
        <v>15</v>
      </c>
      <c r="R10" s="2"/>
    </row>
    <row r="11" spans="1:18" x14ac:dyDescent="0.25">
      <c r="A11" s="3" t="s">
        <v>26</v>
      </c>
      <c r="B11" s="3" t="s">
        <v>27</v>
      </c>
      <c r="C11" t="s">
        <v>28</v>
      </c>
      <c r="D11" s="7">
        <v>16098751</v>
      </c>
      <c r="E11" s="7">
        <v>0</v>
      </c>
      <c r="F11" s="7">
        <v>20489981</v>
      </c>
      <c r="G11" s="7">
        <v>0</v>
      </c>
      <c r="H11" s="7">
        <v>0</v>
      </c>
      <c r="I11" s="7">
        <v>0</v>
      </c>
      <c r="J11" s="7">
        <v>155114</v>
      </c>
      <c r="K11" s="7">
        <f>SUM(D11:J11)</f>
        <v>36743846</v>
      </c>
      <c r="L11" s="7">
        <v>2625822</v>
      </c>
      <c r="M11" s="7">
        <v>0</v>
      </c>
      <c r="N11" s="7">
        <v>1412625</v>
      </c>
      <c r="O11" s="7">
        <v>7883539</v>
      </c>
      <c r="P11" s="7"/>
      <c r="Q11" s="7"/>
      <c r="R11" s="7">
        <v>48665832</v>
      </c>
    </row>
    <row r="12" spans="1:18" x14ac:dyDescent="0.25">
      <c r="A12" s="3"/>
      <c r="B12" s="3"/>
      <c r="C12" t="s">
        <v>29</v>
      </c>
      <c r="D12" s="7">
        <v>0</v>
      </c>
      <c r="E12" s="7">
        <v>0</v>
      </c>
      <c r="F12" s="7">
        <v>4518204</v>
      </c>
      <c r="G12" s="7">
        <v>572685</v>
      </c>
      <c r="H12" s="7">
        <v>7251130</v>
      </c>
      <c r="I12" s="7">
        <v>0</v>
      </c>
      <c r="J12" s="7">
        <v>4423609</v>
      </c>
      <c r="K12" s="7">
        <f t="shared" ref="K12:K22" si="0">SUM(D12:J12)</f>
        <v>16765628</v>
      </c>
      <c r="L12" s="7">
        <v>3276955</v>
      </c>
      <c r="M12" s="7">
        <v>0</v>
      </c>
      <c r="N12" s="7">
        <v>1112634</v>
      </c>
      <c r="O12" s="7">
        <v>1786448</v>
      </c>
      <c r="P12" s="7"/>
      <c r="Q12" s="7"/>
      <c r="R12" s="7">
        <v>22941665</v>
      </c>
    </row>
    <row r="13" spans="1:18" x14ac:dyDescent="0.25">
      <c r="A13" s="3"/>
      <c r="B13" s="3"/>
      <c r="C13" t="s">
        <v>30</v>
      </c>
      <c r="D13" s="7">
        <v>139732</v>
      </c>
      <c r="E13" s="7">
        <v>11440389</v>
      </c>
      <c r="F13" s="7">
        <v>17428126</v>
      </c>
      <c r="G13" s="7">
        <v>3747596</v>
      </c>
      <c r="H13" s="7">
        <v>13113084</v>
      </c>
      <c r="I13" s="7">
        <v>15642551</v>
      </c>
      <c r="J13" s="7">
        <v>63012385</v>
      </c>
      <c r="K13" s="7">
        <f t="shared" si="0"/>
        <v>124523863</v>
      </c>
      <c r="L13" s="7">
        <v>20725375</v>
      </c>
      <c r="M13" s="7">
        <v>-1074165</v>
      </c>
      <c r="N13" s="7">
        <v>5080796</v>
      </c>
      <c r="O13" s="7">
        <v>-9669987</v>
      </c>
      <c r="P13" s="7"/>
      <c r="Q13" s="7"/>
      <c r="R13" s="7">
        <v>139585882</v>
      </c>
    </row>
    <row r="14" spans="1:18" x14ac:dyDescent="0.25">
      <c r="A14" s="3"/>
      <c r="B14" s="3" t="s">
        <v>3</v>
      </c>
      <c r="C14" t="s">
        <v>15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f t="shared" si="0"/>
        <v>0</v>
      </c>
      <c r="L14" s="7">
        <v>-1074165</v>
      </c>
      <c r="M14" s="7">
        <v>1074165</v>
      </c>
      <c r="N14" s="7">
        <v>0</v>
      </c>
      <c r="O14" s="7">
        <v>0</v>
      </c>
      <c r="P14" s="7"/>
      <c r="Q14" s="7"/>
      <c r="R14" s="7">
        <v>0</v>
      </c>
    </row>
    <row r="15" spans="1:18" x14ac:dyDescent="0.25">
      <c r="A15" s="5" t="s">
        <v>68</v>
      </c>
      <c r="B15" s="5"/>
      <c r="C15" s="5"/>
      <c r="D15" s="8">
        <v>16238483</v>
      </c>
      <c r="E15" s="8">
        <v>11440389</v>
      </c>
      <c r="F15" s="8">
        <v>42436311</v>
      </c>
      <c r="G15" s="8">
        <v>4320281</v>
      </c>
      <c r="H15" s="8">
        <v>20364214</v>
      </c>
      <c r="I15" s="8">
        <v>15642551</v>
      </c>
      <c r="J15" s="8">
        <v>67591108</v>
      </c>
      <c r="K15" s="8">
        <f t="shared" si="0"/>
        <v>178033337</v>
      </c>
      <c r="L15" s="8">
        <f>SUM(L11:L13)</f>
        <v>26628152</v>
      </c>
      <c r="M15" s="8">
        <v>0</v>
      </c>
      <c r="N15" s="8">
        <v>7606055</v>
      </c>
      <c r="O15" s="8">
        <v>0</v>
      </c>
      <c r="P15" s="8"/>
      <c r="Q15" s="8"/>
      <c r="R15" s="8">
        <v>211193379</v>
      </c>
    </row>
    <row r="16" spans="1:18" x14ac:dyDescent="0.25">
      <c r="A16" s="3" t="s">
        <v>32</v>
      </c>
      <c r="B16" s="3" t="s">
        <v>33</v>
      </c>
      <c r="C16" t="s">
        <v>28</v>
      </c>
      <c r="D16" s="7">
        <v>2580981</v>
      </c>
      <c r="E16" s="7">
        <v>91459</v>
      </c>
      <c r="F16" s="7">
        <v>12109483</v>
      </c>
      <c r="G16" s="7">
        <v>0</v>
      </c>
      <c r="H16" s="7">
        <v>1650710</v>
      </c>
      <c r="I16" s="7">
        <v>19467</v>
      </c>
      <c r="J16" s="7">
        <v>1483320</v>
      </c>
      <c r="K16" s="7">
        <f t="shared" si="0"/>
        <v>17935420</v>
      </c>
      <c r="L16" s="7">
        <v>11415707</v>
      </c>
      <c r="M16" s="7"/>
      <c r="N16" s="7">
        <v>0</v>
      </c>
      <c r="O16" s="7"/>
      <c r="P16" s="7">
        <v>17720786</v>
      </c>
      <c r="Q16" s="7">
        <v>1593919</v>
      </c>
      <c r="R16" s="7">
        <v>48665832</v>
      </c>
    </row>
    <row r="17" spans="1:18" x14ac:dyDescent="0.25">
      <c r="A17" s="3"/>
      <c r="B17" s="3"/>
      <c r="C17" t="s">
        <v>29</v>
      </c>
      <c r="D17" s="7">
        <v>1055356</v>
      </c>
      <c r="E17" s="7">
        <v>243301</v>
      </c>
      <c r="F17" s="7">
        <v>1720401</v>
      </c>
      <c r="G17" s="7">
        <v>58698</v>
      </c>
      <c r="H17" s="7">
        <v>156864</v>
      </c>
      <c r="I17" s="7">
        <v>417704</v>
      </c>
      <c r="J17" s="7">
        <v>2278459</v>
      </c>
      <c r="K17" s="7">
        <f t="shared" si="0"/>
        <v>5930783</v>
      </c>
      <c r="L17" s="7">
        <v>331359</v>
      </c>
      <c r="M17" s="7"/>
      <c r="N17" s="7">
        <v>0</v>
      </c>
      <c r="O17" s="7"/>
      <c r="P17" s="7">
        <v>9205108</v>
      </c>
      <c r="Q17" s="7">
        <v>7474415</v>
      </c>
      <c r="R17" s="7">
        <v>22941665</v>
      </c>
    </row>
    <row r="18" spans="1:18" x14ac:dyDescent="0.25">
      <c r="A18" s="3"/>
      <c r="B18" s="3"/>
      <c r="C18" t="s">
        <v>30</v>
      </c>
      <c r="D18" s="7">
        <v>2976132</v>
      </c>
      <c r="E18" s="7">
        <v>4938200</v>
      </c>
      <c r="F18" s="7">
        <v>13606042</v>
      </c>
      <c r="G18" s="7">
        <v>2551012</v>
      </c>
      <c r="H18" s="7">
        <v>6431524</v>
      </c>
      <c r="I18" s="7">
        <v>5041871</v>
      </c>
      <c r="J18" s="7">
        <v>18666400</v>
      </c>
      <c r="K18" s="7">
        <f t="shared" si="0"/>
        <v>54211181</v>
      </c>
      <c r="L18" s="7">
        <v>12566986</v>
      </c>
      <c r="M18" s="7"/>
      <c r="N18" s="7">
        <v>0</v>
      </c>
      <c r="O18" s="7"/>
      <c r="P18" s="7">
        <v>53105616</v>
      </c>
      <c r="Q18" s="7">
        <v>19702099</v>
      </c>
      <c r="R18" s="7">
        <v>139585882</v>
      </c>
    </row>
    <row r="19" spans="1:18" x14ac:dyDescent="0.25">
      <c r="A19" s="3"/>
      <c r="B19" s="3" t="s">
        <v>3</v>
      </c>
      <c r="C19" t="s">
        <v>15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f t="shared" si="0"/>
        <v>0</v>
      </c>
      <c r="L19" s="7">
        <v>0</v>
      </c>
      <c r="M19" s="7"/>
      <c r="N19" s="7">
        <v>0</v>
      </c>
      <c r="O19" s="7"/>
      <c r="P19" s="7">
        <v>0</v>
      </c>
      <c r="Q19" s="7">
        <v>0</v>
      </c>
      <c r="R19" s="7">
        <v>0</v>
      </c>
    </row>
    <row r="20" spans="1:18" x14ac:dyDescent="0.25">
      <c r="A20" s="5" t="s">
        <v>70</v>
      </c>
      <c r="B20" s="5"/>
      <c r="C20" s="5"/>
      <c r="D20" s="8">
        <v>6612469</v>
      </c>
      <c r="E20" s="8">
        <v>5272960</v>
      </c>
      <c r="F20" s="8">
        <v>27435926</v>
      </c>
      <c r="G20" s="8">
        <v>2609710</v>
      </c>
      <c r="H20" s="8">
        <v>8239098</v>
      </c>
      <c r="I20" s="8">
        <v>5479042</v>
      </c>
      <c r="J20" s="8">
        <v>22428179</v>
      </c>
      <c r="K20" s="8">
        <f t="shared" si="0"/>
        <v>78077384</v>
      </c>
      <c r="L20" s="8">
        <v>24314052</v>
      </c>
      <c r="M20" s="8"/>
      <c r="N20" s="8">
        <v>0</v>
      </c>
      <c r="O20" s="8"/>
      <c r="P20" s="8">
        <v>80031510</v>
      </c>
      <c r="Q20" s="8">
        <v>28770433</v>
      </c>
      <c r="R20" s="8">
        <v>211193379</v>
      </c>
    </row>
    <row r="21" spans="1:18" x14ac:dyDescent="0.25">
      <c r="A21" s="5" t="s">
        <v>35</v>
      </c>
      <c r="B21" s="5"/>
      <c r="C21" s="5"/>
      <c r="D21" s="8">
        <v>9626014</v>
      </c>
      <c r="E21" s="8">
        <v>6167429</v>
      </c>
      <c r="F21" s="8">
        <v>15000385</v>
      </c>
      <c r="G21" s="8">
        <v>1710571</v>
      </c>
      <c r="H21" s="8">
        <v>12125116</v>
      </c>
      <c r="I21" s="8">
        <v>10163509</v>
      </c>
      <c r="J21" s="8">
        <v>45162929</v>
      </c>
      <c r="K21" s="8">
        <f t="shared" si="0"/>
        <v>99955953</v>
      </c>
      <c r="L21" s="8"/>
      <c r="M21" s="8"/>
      <c r="N21" s="8"/>
      <c r="O21" s="8"/>
      <c r="P21" s="8"/>
      <c r="Q21" s="8"/>
      <c r="R21" s="8">
        <v>99955953</v>
      </c>
    </row>
    <row r="22" spans="1:18" x14ac:dyDescent="0.25">
      <c r="A22" s="5" t="s">
        <v>71</v>
      </c>
      <c r="B22" s="5"/>
      <c r="C22" s="5"/>
      <c r="D22" s="8">
        <v>1679420</v>
      </c>
      <c r="E22" s="8">
        <v>53460</v>
      </c>
      <c r="F22" s="8">
        <v>764792</v>
      </c>
      <c r="G22" s="8">
        <v>47231</v>
      </c>
      <c r="H22" s="8">
        <v>562097</v>
      </c>
      <c r="I22" s="8">
        <v>1826840</v>
      </c>
      <c r="J22" s="8">
        <v>2649637</v>
      </c>
      <c r="K22" s="8">
        <f t="shared" si="0"/>
        <v>7583477</v>
      </c>
      <c r="L22" s="8"/>
      <c r="M22" s="8"/>
      <c r="N22" s="8"/>
      <c r="O22" s="8"/>
      <c r="P22" s="8"/>
      <c r="Q22" s="8"/>
      <c r="R22" s="8">
        <v>7583477</v>
      </c>
    </row>
    <row r="32" spans="1:18" hidden="1" x14ac:dyDescent="0.25">
      <c r="B32" t="s">
        <v>27</v>
      </c>
      <c r="C32" t="s">
        <v>28</v>
      </c>
      <c r="D32" s="13">
        <f>D11/D$15</f>
        <v>0.99139500900422783</v>
      </c>
      <c r="E32" s="13">
        <f t="shared" ref="E32:N32" si="1">E11/E$15</f>
        <v>0</v>
      </c>
      <c r="F32" s="13">
        <f t="shared" si="1"/>
        <v>0.48284076813368626</v>
      </c>
      <c r="G32" s="13">
        <f t="shared" si="1"/>
        <v>0</v>
      </c>
      <c r="H32" s="13">
        <f t="shared" si="1"/>
        <v>0</v>
      </c>
      <c r="I32" s="13">
        <f t="shared" si="1"/>
        <v>0</v>
      </c>
      <c r="J32" s="13">
        <f t="shared" si="1"/>
        <v>2.2948876648094005E-3</v>
      </c>
      <c r="K32" s="13">
        <f t="shared" si="1"/>
        <v>0.20638744753742386</v>
      </c>
      <c r="L32" s="13">
        <f t="shared" si="1"/>
        <v>9.8610748504064427E-2</v>
      </c>
      <c r="M32" s="13"/>
      <c r="N32" s="13">
        <f t="shared" si="1"/>
        <v>0.18572374246570661</v>
      </c>
      <c r="O32" s="13"/>
      <c r="P32" s="13"/>
      <c r="Q32" s="13"/>
    </row>
    <row r="33" spans="2:17" hidden="1" x14ac:dyDescent="0.25">
      <c r="C33" t="s">
        <v>29</v>
      </c>
      <c r="D33" s="13">
        <f t="shared" ref="D33:N34" si="2">D12/D$15</f>
        <v>0</v>
      </c>
      <c r="E33" s="13">
        <f t="shared" si="2"/>
        <v>0</v>
      </c>
      <c r="F33" s="13">
        <f t="shared" si="2"/>
        <v>0.10647023488917309</v>
      </c>
      <c r="G33" s="13">
        <f t="shared" si="2"/>
        <v>0.13255734985756715</v>
      </c>
      <c r="H33" s="13">
        <f t="shared" si="2"/>
        <v>0.35607217641692429</v>
      </c>
      <c r="I33" s="13">
        <f t="shared" si="2"/>
        <v>0</v>
      </c>
      <c r="J33" s="13">
        <f t="shared" si="2"/>
        <v>6.5446611705196486E-2</v>
      </c>
      <c r="K33" s="13">
        <f t="shared" si="2"/>
        <v>9.4171284336483571E-2</v>
      </c>
      <c r="L33" s="13">
        <f t="shared" si="2"/>
        <v>0.12306355318987214</v>
      </c>
      <c r="M33" s="13"/>
      <c r="N33" s="13">
        <f t="shared" si="2"/>
        <v>0.14628266558682523</v>
      </c>
      <c r="O33" s="13"/>
      <c r="P33" s="13"/>
      <c r="Q33" s="13"/>
    </row>
    <row r="34" spans="2:17" hidden="1" x14ac:dyDescent="0.25">
      <c r="C34" t="s">
        <v>30</v>
      </c>
      <c r="D34" s="13">
        <f t="shared" si="2"/>
        <v>8.6049909957722041E-3</v>
      </c>
      <c r="E34" s="13">
        <f t="shared" si="2"/>
        <v>1</v>
      </c>
      <c r="F34" s="13">
        <f t="shared" si="2"/>
        <v>0.41068899697714062</v>
      </c>
      <c r="G34" s="13">
        <f t="shared" si="2"/>
        <v>0.86744265014243283</v>
      </c>
      <c r="H34" s="13">
        <f t="shared" si="2"/>
        <v>0.64392782358307565</v>
      </c>
      <c r="I34" s="13">
        <f t="shared" si="2"/>
        <v>1</v>
      </c>
      <c r="J34" s="13">
        <f t="shared" si="2"/>
        <v>0.93225850062999416</v>
      </c>
      <c r="K34" s="13">
        <f t="shared" si="2"/>
        <v>0.69944126812609264</v>
      </c>
      <c r="L34" s="13">
        <f t="shared" si="2"/>
        <v>0.77832569830606346</v>
      </c>
      <c r="M34" s="13"/>
      <c r="N34" s="13">
        <f t="shared" si="2"/>
        <v>0.66799359194746821</v>
      </c>
      <c r="O34" s="13"/>
      <c r="P34" s="13"/>
      <c r="Q34" s="13"/>
    </row>
    <row r="35" spans="2:17" hidden="1" x14ac:dyDescent="0.25">
      <c r="B35" t="s">
        <v>3</v>
      </c>
      <c r="C35" t="s">
        <v>15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2:17" hidden="1" x14ac:dyDescent="0.25"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2:17" hidden="1" x14ac:dyDescent="0.25">
      <c r="B37" t="s">
        <v>33</v>
      </c>
      <c r="C37" t="s">
        <v>28</v>
      </c>
      <c r="D37" s="13">
        <f>D16/D$20</f>
        <v>0.39032031756973073</v>
      </c>
      <c r="E37" s="13">
        <f t="shared" ref="E37:Q37" si="3">E16/E$20</f>
        <v>1.7344906845490959E-2</v>
      </c>
      <c r="F37" s="13">
        <f t="shared" si="3"/>
        <v>0.44137321991610562</v>
      </c>
      <c r="G37" s="13">
        <f t="shared" si="3"/>
        <v>0</v>
      </c>
      <c r="H37" s="13">
        <f t="shared" si="3"/>
        <v>0.20035081510136182</v>
      </c>
      <c r="I37" s="13">
        <f t="shared" si="3"/>
        <v>3.5529933882602104E-3</v>
      </c>
      <c r="J37" s="13">
        <f t="shared" si="3"/>
        <v>6.613644380134473E-2</v>
      </c>
      <c r="K37" s="13">
        <f t="shared" si="3"/>
        <v>0.22971338281518244</v>
      </c>
      <c r="L37" s="13">
        <f t="shared" si="3"/>
        <v>0.4695106763775943</v>
      </c>
      <c r="M37" s="13"/>
      <c r="N37" s="13"/>
      <c r="O37" s="13"/>
      <c r="P37" s="13">
        <f t="shared" si="3"/>
        <v>0.22142261216863207</v>
      </c>
      <c r="Q37" s="13">
        <f t="shared" si="3"/>
        <v>5.5401286452657836E-2</v>
      </c>
    </row>
    <row r="38" spans="2:17" hidden="1" x14ac:dyDescent="0.25">
      <c r="C38" t="s">
        <v>29</v>
      </c>
      <c r="D38" s="13">
        <f t="shared" ref="D38:Q39" si="4">D17/D$20</f>
        <v>0.15960089945223183</v>
      </c>
      <c r="E38" s="13">
        <f t="shared" si="4"/>
        <v>4.6141256523849983E-2</v>
      </c>
      <c r="F38" s="13">
        <f t="shared" si="4"/>
        <v>6.2706139388187587E-2</v>
      </c>
      <c r="G38" s="13">
        <f t="shared" si="4"/>
        <v>2.2492154300669424E-2</v>
      </c>
      <c r="H38" s="13">
        <f t="shared" si="4"/>
        <v>1.9038977324945035E-2</v>
      </c>
      <c r="I38" s="13">
        <f t="shared" si="4"/>
        <v>7.6236685172334867E-2</v>
      </c>
      <c r="J38" s="13">
        <f t="shared" si="4"/>
        <v>0.10158912143513747</v>
      </c>
      <c r="K38" s="13">
        <f t="shared" si="4"/>
        <v>7.5960319059870135E-2</v>
      </c>
      <c r="L38" s="13">
        <f t="shared" si="4"/>
        <v>1.3628291985227308E-2</v>
      </c>
      <c r="M38" s="13"/>
      <c r="N38" s="13"/>
      <c r="O38" s="13"/>
      <c r="P38" s="13">
        <f t="shared" si="4"/>
        <v>0.11501854706977289</v>
      </c>
      <c r="Q38" s="13">
        <f t="shared" si="4"/>
        <v>0.25979501246992009</v>
      </c>
    </row>
    <row r="39" spans="2:17" hidden="1" x14ac:dyDescent="0.25">
      <c r="C39" t="s">
        <v>30</v>
      </c>
      <c r="D39" s="13">
        <f t="shared" si="4"/>
        <v>0.45007878297803738</v>
      </c>
      <c r="E39" s="13">
        <f t="shared" si="4"/>
        <v>0.93651383663065901</v>
      </c>
      <c r="F39" s="13">
        <f t="shared" si="4"/>
        <v>0.49592064069570679</v>
      </c>
      <c r="G39" s="13">
        <f t="shared" si="4"/>
        <v>0.97750784569933058</v>
      </c>
      <c r="H39" s="13">
        <f t="shared" si="4"/>
        <v>0.78061020757369315</v>
      </c>
      <c r="I39" s="13">
        <f t="shared" si="4"/>
        <v>0.92021032143940495</v>
      </c>
      <c r="J39" s="13">
        <f t="shared" si="4"/>
        <v>0.83227443476351781</v>
      </c>
      <c r="K39" s="13">
        <f t="shared" si="4"/>
        <v>0.69432629812494739</v>
      </c>
      <c r="L39" s="13">
        <f t="shared" si="4"/>
        <v>0.51686103163717834</v>
      </c>
      <c r="M39" s="13"/>
      <c r="N39" s="13"/>
      <c r="O39" s="13"/>
      <c r="P39" s="13">
        <f t="shared" si="4"/>
        <v>0.66355884076159499</v>
      </c>
      <c r="Q39" s="13">
        <f t="shared" si="4"/>
        <v>0.68480370107742206</v>
      </c>
    </row>
  </sheetData>
  <hyperlinks>
    <hyperlink ref="K1" location="Contenido!A1" display="Contenido" xr:uid="{FCADDBFC-1B71-447E-B5DF-B70D88C61188}"/>
  </hyperlinks>
  <pageMargins left="0.7" right="0.7" top="0.75" bottom="0.75" header="0.3" footer="0.3"/>
  <pageSetup scale="4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EC5B-1D2C-4E5F-AA3E-6E913625EB9B}">
  <sheetPr>
    <pageSetUpPr fitToPage="1"/>
  </sheetPr>
  <dimension ref="A1:R39"/>
  <sheetViews>
    <sheetView workbookViewId="0">
      <selection activeCell="B12" sqref="B12"/>
    </sheetView>
  </sheetViews>
  <sheetFormatPr defaultRowHeight="15" x14ac:dyDescent="0.25"/>
  <cols>
    <col min="1" max="1" width="11" customWidth="1"/>
    <col min="2" max="2" width="20.5703125" customWidth="1"/>
    <col min="3" max="3" width="19.5703125" bestFit="1" customWidth="1"/>
    <col min="4" max="18" width="15.7109375" customWidth="1"/>
  </cols>
  <sheetData>
    <row r="1" spans="1:18" x14ac:dyDescent="0.25">
      <c r="A1" s="22" t="s">
        <v>72</v>
      </c>
      <c r="K1" s="28" t="s">
        <v>122</v>
      </c>
    </row>
    <row r="2" spans="1:18" x14ac:dyDescent="0.25">
      <c r="A2" s="22" t="s">
        <v>118</v>
      </c>
    </row>
    <row r="3" spans="1:18" x14ac:dyDescent="0.25">
      <c r="A3" s="22" t="s">
        <v>64</v>
      </c>
    </row>
    <row r="4" spans="1:18" x14ac:dyDescent="0.25">
      <c r="A4" s="22" t="s">
        <v>41</v>
      </c>
    </row>
    <row r="5" spans="1:18" x14ac:dyDescent="0.25">
      <c r="A5" s="22" t="s">
        <v>74</v>
      </c>
    </row>
    <row r="6" spans="1:18" x14ac:dyDescent="0.25">
      <c r="A6" s="27" t="s">
        <v>103</v>
      </c>
    </row>
    <row r="8" spans="1:18" s="12" customFormat="1" ht="75" x14ac:dyDescent="0.25">
      <c r="A8" s="9"/>
      <c r="B8" s="9"/>
      <c r="C8" s="9"/>
      <c r="D8" s="9" t="s">
        <v>1</v>
      </c>
      <c r="E8" s="9"/>
      <c r="F8" s="9"/>
      <c r="G8" s="9"/>
      <c r="H8" s="9"/>
      <c r="I8" s="9"/>
      <c r="J8" s="9"/>
      <c r="K8" s="9"/>
      <c r="L8" s="9" t="s">
        <v>2</v>
      </c>
      <c r="M8" s="9" t="s">
        <v>3</v>
      </c>
      <c r="N8" s="9" t="s">
        <v>4</v>
      </c>
      <c r="O8" s="9" t="s">
        <v>5</v>
      </c>
      <c r="P8" s="9" t="s">
        <v>6</v>
      </c>
      <c r="Q8" s="9" t="s">
        <v>7</v>
      </c>
      <c r="R8" s="9"/>
    </row>
    <row r="9" spans="1:18" x14ac:dyDescent="0.25">
      <c r="A9" s="1"/>
      <c r="B9" s="1"/>
      <c r="C9" s="1"/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/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1"/>
    </row>
    <row r="10" spans="1:18" ht="60" x14ac:dyDescent="0.25">
      <c r="A10" s="6" t="s">
        <v>16</v>
      </c>
      <c r="B10" s="6"/>
      <c r="C10" s="6" t="s">
        <v>65</v>
      </c>
      <c r="D10" s="6" t="s">
        <v>19</v>
      </c>
      <c r="E10" s="6" t="s">
        <v>20</v>
      </c>
      <c r="F10" s="6" t="s">
        <v>21</v>
      </c>
      <c r="G10" s="6" t="s">
        <v>22</v>
      </c>
      <c r="H10" s="6" t="s">
        <v>23</v>
      </c>
      <c r="I10" s="6" t="s">
        <v>24</v>
      </c>
      <c r="J10" s="6" t="s">
        <v>25</v>
      </c>
      <c r="K10" s="2" t="s">
        <v>87</v>
      </c>
      <c r="L10" s="6" t="s">
        <v>15</v>
      </c>
      <c r="M10" s="6" t="s">
        <v>15</v>
      </c>
      <c r="N10" s="6" t="s">
        <v>15</v>
      </c>
      <c r="O10" s="6" t="s">
        <v>15</v>
      </c>
      <c r="P10" s="6" t="s">
        <v>15</v>
      </c>
      <c r="Q10" s="6" t="s">
        <v>15</v>
      </c>
      <c r="R10" s="6"/>
    </row>
    <row r="11" spans="1:18" x14ac:dyDescent="0.25">
      <c r="A11" s="3" t="s">
        <v>26</v>
      </c>
      <c r="B11" s="3" t="s">
        <v>27</v>
      </c>
      <c r="C11" t="s">
        <v>28</v>
      </c>
      <c r="D11" s="7">
        <v>86305.822574999984</v>
      </c>
      <c r="E11" s="7">
        <v>0</v>
      </c>
      <c r="F11" s="7">
        <v>96882.349914000006</v>
      </c>
      <c r="G11" s="7">
        <v>3763.9924699999997</v>
      </c>
      <c r="H11" s="7">
        <v>0</v>
      </c>
      <c r="I11" s="7">
        <v>572.37628399999994</v>
      </c>
      <c r="J11" s="7">
        <v>274.45236600000004</v>
      </c>
      <c r="K11" s="7">
        <f>SUM(D11:J11)</f>
        <v>187798.993609</v>
      </c>
      <c r="L11" s="7">
        <v>29032.065607999997</v>
      </c>
      <c r="M11" s="7">
        <v>0</v>
      </c>
      <c r="N11" s="7">
        <v>8880.7577269999965</v>
      </c>
      <c r="O11" s="7">
        <v>81111.609319000025</v>
      </c>
      <c r="P11" s="7"/>
      <c r="Q11" s="7"/>
      <c r="R11" s="7">
        <v>306823.426263</v>
      </c>
    </row>
    <row r="12" spans="1:18" x14ac:dyDescent="0.25">
      <c r="A12" s="3"/>
      <c r="B12" s="3"/>
      <c r="C12" t="s">
        <v>29</v>
      </c>
      <c r="D12" s="7">
        <v>2801.5051169999997</v>
      </c>
      <c r="E12" s="7">
        <v>0</v>
      </c>
      <c r="F12" s="7">
        <v>42883.768226000007</v>
      </c>
      <c r="G12" s="7">
        <v>1963.4040029999999</v>
      </c>
      <c r="H12" s="7">
        <v>0</v>
      </c>
      <c r="I12" s="7">
        <v>38.066466999999996</v>
      </c>
      <c r="J12" s="7">
        <v>37906.361207000002</v>
      </c>
      <c r="K12" s="7">
        <f t="shared" ref="K12:K22" si="0">SUM(D12:J12)</f>
        <v>85593.105020000017</v>
      </c>
      <c r="L12" s="7">
        <v>32378.535527000004</v>
      </c>
      <c r="M12" s="7">
        <v>0</v>
      </c>
      <c r="N12" s="7">
        <v>5834.6500330000008</v>
      </c>
      <c r="O12" s="7">
        <v>21961.672763999999</v>
      </c>
      <c r="P12" s="7"/>
      <c r="Q12" s="7"/>
      <c r="R12" s="7">
        <v>145767.96334400002</v>
      </c>
    </row>
    <row r="13" spans="1:18" x14ac:dyDescent="0.25">
      <c r="A13" s="3"/>
      <c r="B13" s="3"/>
      <c r="C13" t="s">
        <v>66</v>
      </c>
      <c r="D13" s="7">
        <v>3481.130545</v>
      </c>
      <c r="E13" s="7">
        <v>4978.7683960000004</v>
      </c>
      <c r="F13" s="7">
        <v>61410.25643299998</v>
      </c>
      <c r="G13" s="7">
        <v>15820.197425</v>
      </c>
      <c r="H13" s="7">
        <v>55857.768987999996</v>
      </c>
      <c r="I13" s="7">
        <v>144876.30364900001</v>
      </c>
      <c r="J13" s="7">
        <v>310743.4206100002</v>
      </c>
      <c r="K13" s="7">
        <f t="shared" si="0"/>
        <v>597167.84604600025</v>
      </c>
      <c r="L13" s="7">
        <v>107115.718139</v>
      </c>
      <c r="M13" s="7">
        <v>-9498.5111589999997</v>
      </c>
      <c r="N13" s="7">
        <v>18802.35948100001</v>
      </c>
      <c r="O13" s="7">
        <v>-103073.282085</v>
      </c>
      <c r="P13" s="7"/>
      <c r="Q13" s="7"/>
      <c r="R13" s="7">
        <v>610514.13042200031</v>
      </c>
    </row>
    <row r="14" spans="1:18" x14ac:dyDescent="0.25">
      <c r="A14" s="3"/>
      <c r="B14" s="3" t="s">
        <v>67</v>
      </c>
      <c r="C14" t="s">
        <v>15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f t="shared" si="0"/>
        <v>0</v>
      </c>
      <c r="L14" s="7">
        <v>-9498.5111589999997</v>
      </c>
      <c r="M14" s="7">
        <v>9498.5111589999997</v>
      </c>
      <c r="N14" s="7">
        <v>0</v>
      </c>
      <c r="O14" s="7">
        <v>0</v>
      </c>
      <c r="P14" s="7"/>
      <c r="Q14" s="7"/>
      <c r="R14" s="7">
        <v>0</v>
      </c>
    </row>
    <row r="15" spans="1:18" x14ac:dyDescent="0.25">
      <c r="A15" s="5" t="s">
        <v>68</v>
      </c>
      <c r="B15" s="5"/>
      <c r="C15" s="5"/>
      <c r="D15" s="8">
        <v>92588.458236999984</v>
      </c>
      <c r="E15" s="8">
        <v>4978.7683960000004</v>
      </c>
      <c r="F15" s="8">
        <v>201176.37457299998</v>
      </c>
      <c r="G15" s="8">
        <v>21547.593897999999</v>
      </c>
      <c r="H15" s="8">
        <v>55857.768987999996</v>
      </c>
      <c r="I15" s="8">
        <v>145486.7464</v>
      </c>
      <c r="J15" s="8">
        <v>348924.23418300023</v>
      </c>
      <c r="K15" s="8">
        <f t="shared" si="0"/>
        <v>870559.94467500015</v>
      </c>
      <c r="L15" s="8">
        <f>SUM(L11:L13)</f>
        <v>168526.31927400001</v>
      </c>
      <c r="M15" s="8">
        <v>0</v>
      </c>
      <c r="N15" s="8">
        <v>33517.767241000009</v>
      </c>
      <c r="O15" s="8">
        <v>-1.999971573241055E-6</v>
      </c>
      <c r="P15" s="8"/>
      <c r="Q15" s="8"/>
      <c r="R15" s="8">
        <v>1063105.5200290005</v>
      </c>
    </row>
    <row r="16" spans="1:18" x14ac:dyDescent="0.25">
      <c r="A16" s="3" t="s">
        <v>32</v>
      </c>
      <c r="B16" s="3" t="s">
        <v>33</v>
      </c>
      <c r="C16" t="s">
        <v>28</v>
      </c>
      <c r="D16" s="7">
        <v>11826.862728000002</v>
      </c>
      <c r="E16" s="7">
        <v>22.100133</v>
      </c>
      <c r="F16" s="7">
        <v>52114.282703000012</v>
      </c>
      <c r="G16" s="7">
        <v>172.01903900000002</v>
      </c>
      <c r="H16" s="7">
        <v>85.822799999999987</v>
      </c>
      <c r="I16" s="7">
        <v>1181.6329540000002</v>
      </c>
      <c r="J16" s="7">
        <v>19606.527725999993</v>
      </c>
      <c r="K16" s="7">
        <f t="shared" si="0"/>
        <v>85009.248083000013</v>
      </c>
      <c r="L16" s="7">
        <v>41559.92414599999</v>
      </c>
      <c r="M16" s="7"/>
      <c r="N16" s="7"/>
      <c r="O16" s="7"/>
      <c r="P16" s="7">
        <v>178290.435513</v>
      </c>
      <c r="Q16" s="7">
        <v>1963.8185189999999</v>
      </c>
      <c r="R16" s="7">
        <v>306823.42626100004</v>
      </c>
    </row>
    <row r="17" spans="1:18" x14ac:dyDescent="0.25">
      <c r="A17" s="3"/>
      <c r="B17" s="3"/>
      <c r="C17" t="s">
        <v>29</v>
      </c>
      <c r="D17" s="7">
        <v>15495.213449000003</v>
      </c>
      <c r="E17" s="7">
        <v>76.996886000000003</v>
      </c>
      <c r="F17" s="7">
        <v>23235.051363999977</v>
      </c>
      <c r="G17" s="7">
        <v>364.73784900000004</v>
      </c>
      <c r="H17" s="7">
        <v>1372.545981</v>
      </c>
      <c r="I17" s="7">
        <v>2480.080762</v>
      </c>
      <c r="J17" s="7">
        <v>5153.6874569999991</v>
      </c>
      <c r="K17" s="7">
        <f t="shared" si="0"/>
        <v>48178.313747999979</v>
      </c>
      <c r="L17" s="7">
        <v>15406.329397</v>
      </c>
      <c r="M17" s="7"/>
      <c r="N17" s="7"/>
      <c r="O17" s="7"/>
      <c r="P17" s="7">
        <v>81844.148716000025</v>
      </c>
      <c r="Q17" s="7">
        <v>339.17147299999993</v>
      </c>
      <c r="R17" s="7">
        <v>145767.963334</v>
      </c>
    </row>
    <row r="18" spans="1:18" x14ac:dyDescent="0.25">
      <c r="A18" s="3"/>
      <c r="B18" s="3"/>
      <c r="C18" t="s">
        <v>66</v>
      </c>
      <c r="D18" s="7">
        <v>13218.317342999995</v>
      </c>
      <c r="E18" s="7">
        <v>1895.9162230000006</v>
      </c>
      <c r="F18" s="7">
        <v>48956.850420000053</v>
      </c>
      <c r="G18" s="7">
        <v>8924.4697789999991</v>
      </c>
      <c r="H18" s="7">
        <v>28389.420256000005</v>
      </c>
      <c r="I18" s="7">
        <v>36211.78424600001</v>
      </c>
      <c r="J18" s="7">
        <v>82823.40918400012</v>
      </c>
      <c r="K18" s="7">
        <f t="shared" si="0"/>
        <v>220420.16745100019</v>
      </c>
      <c r="L18" s="7">
        <v>33856.571933999985</v>
      </c>
      <c r="M18" s="7"/>
      <c r="N18" s="7"/>
      <c r="O18" s="7"/>
      <c r="P18" s="7">
        <v>282592.95877900004</v>
      </c>
      <c r="Q18" s="7">
        <v>73644.432279999994</v>
      </c>
      <c r="R18" s="7">
        <v>610514.13044400013</v>
      </c>
    </row>
    <row r="19" spans="1:18" x14ac:dyDescent="0.25">
      <c r="A19" s="3"/>
      <c r="B19" s="3" t="s">
        <v>69</v>
      </c>
      <c r="C19" t="s">
        <v>15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f t="shared" si="0"/>
        <v>0</v>
      </c>
      <c r="L19" s="7">
        <v>9357.041706</v>
      </c>
      <c r="M19" s="7"/>
      <c r="N19" s="7"/>
      <c r="O19" s="7"/>
      <c r="P19" s="7">
        <v>-9357.041706</v>
      </c>
      <c r="Q19" s="7">
        <v>0</v>
      </c>
      <c r="R19" s="7">
        <v>0</v>
      </c>
    </row>
    <row r="20" spans="1:18" x14ac:dyDescent="0.25">
      <c r="A20" s="5" t="s">
        <v>70</v>
      </c>
      <c r="B20" s="5"/>
      <c r="C20" s="5"/>
      <c r="D20" s="8">
        <v>40540.393519999998</v>
      </c>
      <c r="E20" s="8">
        <v>1995.0132420000007</v>
      </c>
      <c r="F20" s="8">
        <v>124306.18448700005</v>
      </c>
      <c r="G20" s="8">
        <v>9461.226666999999</v>
      </c>
      <c r="H20" s="8">
        <v>29847.789037000006</v>
      </c>
      <c r="I20" s="8">
        <v>39873.497962000009</v>
      </c>
      <c r="J20" s="8">
        <v>107583.62436700011</v>
      </c>
      <c r="K20" s="8">
        <f t="shared" si="0"/>
        <v>353607.72928200022</v>
      </c>
      <c r="L20" s="8">
        <v>100179.86718299998</v>
      </c>
      <c r="M20" s="8"/>
      <c r="N20" s="8"/>
      <c r="O20" s="8"/>
      <c r="P20" s="8">
        <v>533370.50130200014</v>
      </c>
      <c r="Q20" s="8">
        <v>75947.422271999996</v>
      </c>
      <c r="R20" s="8">
        <v>1063105.5200390001</v>
      </c>
    </row>
    <row r="21" spans="1:18" x14ac:dyDescent="0.25">
      <c r="A21" s="5" t="s">
        <v>35</v>
      </c>
      <c r="B21" s="5"/>
      <c r="C21" s="5"/>
      <c r="D21" s="8">
        <v>52048.064719000002</v>
      </c>
      <c r="E21" s="8">
        <v>2983.7551539999999</v>
      </c>
      <c r="F21" s="8">
        <v>76870.190073999984</v>
      </c>
      <c r="G21" s="8">
        <v>12086.367226</v>
      </c>
      <c r="H21" s="8">
        <v>26009.979949</v>
      </c>
      <c r="I21" s="8">
        <v>105613.24844</v>
      </c>
      <c r="J21" s="8">
        <v>241340.60983700003</v>
      </c>
      <c r="K21" s="8">
        <f t="shared" si="0"/>
        <v>516952.21539899998</v>
      </c>
      <c r="L21" s="8"/>
      <c r="M21" s="8"/>
      <c r="N21" s="8"/>
      <c r="O21" s="8"/>
      <c r="P21" s="8"/>
      <c r="Q21" s="8"/>
      <c r="R21" s="8">
        <v>516952.21539899998</v>
      </c>
    </row>
    <row r="22" spans="1:18" x14ac:dyDescent="0.25">
      <c r="A22" s="5" t="s">
        <v>71</v>
      </c>
      <c r="B22" s="5"/>
      <c r="C22" s="5"/>
      <c r="D22" s="8">
        <v>2735528</v>
      </c>
      <c r="E22" s="8">
        <v>30954</v>
      </c>
      <c r="F22" s="8">
        <v>786582</v>
      </c>
      <c r="G22" s="8">
        <v>65547</v>
      </c>
      <c r="H22" s="8">
        <v>371341</v>
      </c>
      <c r="I22" s="8">
        <v>1522265</v>
      </c>
      <c r="J22" s="8">
        <v>2294634</v>
      </c>
      <c r="K22" s="8">
        <f t="shared" si="0"/>
        <v>7806851</v>
      </c>
      <c r="L22" s="8"/>
      <c r="M22" s="8"/>
      <c r="N22" s="8"/>
      <c r="O22" s="8"/>
      <c r="P22" s="8"/>
      <c r="Q22" s="8"/>
      <c r="R22" s="8">
        <v>7806851</v>
      </c>
    </row>
    <row r="32" spans="1:18" hidden="1" x14ac:dyDescent="0.25">
      <c r="B32" t="s">
        <v>27</v>
      </c>
      <c r="C32" t="s">
        <v>28</v>
      </c>
      <c r="D32" s="13">
        <f>D11/D$15</f>
        <v>0.93214450503195279</v>
      </c>
      <c r="E32" s="13">
        <f t="shared" ref="E32:N32" si="1">E11/E$15</f>
        <v>0</v>
      </c>
      <c r="F32" s="13">
        <f t="shared" si="1"/>
        <v>0.48157916216371988</v>
      </c>
      <c r="G32" s="13">
        <f t="shared" si="1"/>
        <v>0.17468272735311599</v>
      </c>
      <c r="H32" s="13">
        <f t="shared" si="1"/>
        <v>0</v>
      </c>
      <c r="I32" s="13">
        <f t="shared" si="1"/>
        <v>3.9342159898628397E-3</v>
      </c>
      <c r="J32" s="13">
        <f t="shared" si="1"/>
        <v>7.8656722323293274E-4</v>
      </c>
      <c r="K32" s="13">
        <f t="shared" si="1"/>
        <v>0.21572207032694302</v>
      </c>
      <c r="L32" s="13">
        <f t="shared" si="1"/>
        <v>0.17227021709765081</v>
      </c>
      <c r="M32" s="13"/>
      <c r="N32" s="13">
        <f t="shared" si="1"/>
        <v>0.26495672170360945</v>
      </c>
      <c r="O32" s="13"/>
      <c r="P32" s="13"/>
      <c r="Q32" s="13"/>
    </row>
    <row r="33" spans="2:17" hidden="1" x14ac:dyDescent="0.25">
      <c r="C33" t="s">
        <v>29</v>
      </c>
      <c r="D33" s="13">
        <f t="shared" ref="D33:N34" si="2">D12/D$15</f>
        <v>3.0257606297201187E-2</v>
      </c>
      <c r="E33" s="13">
        <f t="shared" si="2"/>
        <v>0</v>
      </c>
      <c r="F33" s="13">
        <f t="shared" si="2"/>
        <v>0.21316503151536298</v>
      </c>
      <c r="G33" s="13">
        <f t="shared" si="2"/>
        <v>9.1119408148036374E-2</v>
      </c>
      <c r="H33" s="13">
        <f t="shared" si="2"/>
        <v>0</v>
      </c>
      <c r="I33" s="13">
        <f t="shared" si="2"/>
        <v>2.6164903636885506E-4</v>
      </c>
      <c r="J33" s="13">
        <f t="shared" si="2"/>
        <v>0.10863780011083798</v>
      </c>
      <c r="K33" s="13">
        <f t="shared" si="2"/>
        <v>9.8319599406740302E-2</v>
      </c>
      <c r="L33" s="13">
        <f t="shared" si="2"/>
        <v>0.19212747104716074</v>
      </c>
      <c r="M33" s="13"/>
      <c r="N33" s="13">
        <f t="shared" si="2"/>
        <v>0.17407633363665315</v>
      </c>
      <c r="O33" s="13"/>
      <c r="P33" s="13"/>
      <c r="Q33" s="13"/>
    </row>
    <row r="34" spans="2:17" hidden="1" x14ac:dyDescent="0.25">
      <c r="C34" t="s">
        <v>66</v>
      </c>
      <c r="D34" s="13">
        <f t="shared" si="2"/>
        <v>3.7597888670846E-2</v>
      </c>
      <c r="E34" s="13">
        <f t="shared" si="2"/>
        <v>1</v>
      </c>
      <c r="F34" s="13">
        <f t="shared" si="2"/>
        <v>0.30525580632091726</v>
      </c>
      <c r="G34" s="13">
        <f t="shared" si="2"/>
        <v>0.73419786449884772</v>
      </c>
      <c r="H34" s="13">
        <f t="shared" si="2"/>
        <v>1</v>
      </c>
      <c r="I34" s="13">
        <f t="shared" si="2"/>
        <v>0.9958041349737683</v>
      </c>
      <c r="J34" s="13">
        <f t="shared" si="2"/>
        <v>0.89057563266592898</v>
      </c>
      <c r="K34" s="13">
        <f t="shared" si="2"/>
        <v>0.68595833026631681</v>
      </c>
      <c r="L34" s="13">
        <f t="shared" si="2"/>
        <v>0.63560231185518845</v>
      </c>
      <c r="M34" s="13"/>
      <c r="N34" s="13">
        <f t="shared" si="2"/>
        <v>0.5609669446597374</v>
      </c>
      <c r="O34" s="13"/>
      <c r="P34" s="13"/>
      <c r="Q34" s="13"/>
    </row>
    <row r="35" spans="2:17" hidden="1" x14ac:dyDescent="0.25">
      <c r="B35" t="s">
        <v>67</v>
      </c>
      <c r="C35" t="s">
        <v>15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2:17" hidden="1" x14ac:dyDescent="0.25"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2:17" hidden="1" x14ac:dyDescent="0.25">
      <c r="B37" t="s">
        <v>33</v>
      </c>
      <c r="C37" t="s">
        <v>28</v>
      </c>
      <c r="D37" s="13">
        <f>D16/D$20</f>
        <v>0.29173033858601782</v>
      </c>
      <c r="E37" s="13">
        <f t="shared" ref="E37:Q37" si="3">E16/E$20</f>
        <v>1.1077687373064561E-2</v>
      </c>
      <c r="F37" s="13">
        <f t="shared" si="3"/>
        <v>0.41924127040075088</v>
      </c>
      <c r="G37" s="13">
        <f t="shared" si="3"/>
        <v>1.8181473190996326E-2</v>
      </c>
      <c r="H37" s="13">
        <f t="shared" si="3"/>
        <v>2.8753486529140256E-3</v>
      </c>
      <c r="I37" s="13">
        <f t="shared" si="3"/>
        <v>2.9634544607200317E-2</v>
      </c>
      <c r="J37" s="13">
        <f t="shared" si="3"/>
        <v>0.1822445362048431</v>
      </c>
      <c r="K37" s="13">
        <f t="shared" si="3"/>
        <v>0.24040551448242128</v>
      </c>
      <c r="L37" s="13">
        <f t="shared" si="3"/>
        <v>0.41485305695286945</v>
      </c>
      <c r="M37" s="13"/>
      <c r="N37" s="13"/>
      <c r="O37" s="13"/>
      <c r="P37" s="13">
        <f t="shared" si="3"/>
        <v>0.33427127124162054</v>
      </c>
      <c r="Q37" s="13">
        <f t="shared" si="3"/>
        <v>2.5857605962803204E-2</v>
      </c>
    </row>
    <row r="38" spans="2:17" hidden="1" x14ac:dyDescent="0.25">
      <c r="C38" t="s">
        <v>29</v>
      </c>
      <c r="D38" s="13">
        <f t="shared" ref="D38:Q39" si="4">D17/D$20</f>
        <v>0.38221665118656706</v>
      </c>
      <c r="E38" s="13">
        <f t="shared" si="4"/>
        <v>3.8594674150037533E-2</v>
      </c>
      <c r="F38" s="13">
        <f t="shared" si="4"/>
        <v>0.18691790323939916</v>
      </c>
      <c r="G38" s="13">
        <f t="shared" si="4"/>
        <v>3.8550799155058449E-2</v>
      </c>
      <c r="H38" s="13">
        <f t="shared" si="4"/>
        <v>4.598484595621339E-2</v>
      </c>
      <c r="I38" s="13">
        <f t="shared" si="4"/>
        <v>6.2198725689016576E-2</v>
      </c>
      <c r="J38" s="13">
        <f t="shared" si="4"/>
        <v>4.7904014085073214E-2</v>
      </c>
      <c r="K38" s="13">
        <f t="shared" si="4"/>
        <v>0.13624790907660855</v>
      </c>
      <c r="L38" s="13">
        <f t="shared" si="4"/>
        <v>0.15378668219690328</v>
      </c>
      <c r="M38" s="13"/>
      <c r="N38" s="13"/>
      <c r="O38" s="13"/>
      <c r="P38" s="13">
        <f t="shared" si="4"/>
        <v>0.15344708512415273</v>
      </c>
      <c r="Q38" s="13">
        <f t="shared" si="4"/>
        <v>4.4658720843122595E-3</v>
      </c>
    </row>
    <row r="39" spans="2:17" hidden="1" x14ac:dyDescent="0.25">
      <c r="C39" t="s">
        <v>66</v>
      </c>
      <c r="D39" s="13">
        <f t="shared" si="4"/>
        <v>0.32605301022741517</v>
      </c>
      <c r="E39" s="13">
        <f t="shared" si="4"/>
        <v>0.95032763847689783</v>
      </c>
      <c r="F39" s="13">
        <f t="shared" si="4"/>
        <v>0.3938408263598499</v>
      </c>
      <c r="G39" s="13">
        <f t="shared" si="4"/>
        <v>0.94326772765394529</v>
      </c>
      <c r="H39" s="13">
        <f t="shared" si="4"/>
        <v>0.95113980539087251</v>
      </c>
      <c r="I39" s="13">
        <f t="shared" si="4"/>
        <v>0.9081667297037832</v>
      </c>
      <c r="J39" s="13">
        <f t="shared" si="4"/>
        <v>0.76985144971008368</v>
      </c>
      <c r="K39" s="13">
        <f t="shared" si="4"/>
        <v>0.62334657644097002</v>
      </c>
      <c r="L39" s="13">
        <f t="shared" si="4"/>
        <v>0.33795784408611468</v>
      </c>
      <c r="M39" s="13"/>
      <c r="N39" s="13"/>
      <c r="O39" s="13"/>
      <c r="P39" s="13">
        <f t="shared" si="4"/>
        <v>0.5298248742462659</v>
      </c>
      <c r="Q39" s="13">
        <f t="shared" si="4"/>
        <v>0.96967652195288445</v>
      </c>
    </row>
  </sheetData>
  <hyperlinks>
    <hyperlink ref="K1" location="Contenido!A1" display="Contenido" xr:uid="{B32415B6-5BEA-43B0-882B-9308DED75B2B}"/>
  </hyperlinks>
  <pageMargins left="0.7" right="0.7" top="0.75" bottom="0.75" header="0.3" footer="0.3"/>
  <pageSetup scale="4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4902-C64A-4D31-9F38-DF493EEEE799}">
  <sheetPr>
    <pageSetUpPr fitToPage="1"/>
  </sheetPr>
  <dimension ref="A1:R41"/>
  <sheetViews>
    <sheetView workbookViewId="0">
      <selection activeCell="A32" sqref="A32:XFD44"/>
    </sheetView>
  </sheetViews>
  <sheetFormatPr defaultRowHeight="15" x14ac:dyDescent="0.25"/>
  <cols>
    <col min="1" max="1" width="18" customWidth="1"/>
    <col min="2" max="2" width="25.28515625" customWidth="1"/>
    <col min="3" max="3" width="24.5703125" bestFit="1" customWidth="1"/>
    <col min="4" max="18" width="15.7109375" customWidth="1"/>
  </cols>
  <sheetData>
    <row r="1" spans="1:18" x14ac:dyDescent="0.25">
      <c r="A1" s="22" t="s">
        <v>76</v>
      </c>
      <c r="K1" s="28" t="s">
        <v>122</v>
      </c>
    </row>
    <row r="2" spans="1:18" x14ac:dyDescent="0.25">
      <c r="A2" s="22" t="s">
        <v>118</v>
      </c>
    </row>
    <row r="3" spans="1:18" x14ac:dyDescent="0.25">
      <c r="A3" s="22" t="s">
        <v>64</v>
      </c>
    </row>
    <row r="4" spans="1:18" x14ac:dyDescent="0.25">
      <c r="A4" s="22" t="s">
        <v>41</v>
      </c>
    </row>
    <row r="5" spans="1:18" x14ac:dyDescent="0.25">
      <c r="A5" s="22" t="s">
        <v>75</v>
      </c>
    </row>
    <row r="6" spans="1:18" x14ac:dyDescent="0.25">
      <c r="A6" s="27" t="s">
        <v>103</v>
      </c>
    </row>
    <row r="8" spans="1:18" s="12" customFormat="1" ht="75" x14ac:dyDescent="0.25">
      <c r="A8" s="9"/>
      <c r="B8" s="9"/>
      <c r="C8" s="9"/>
      <c r="D8" s="9" t="s">
        <v>1</v>
      </c>
      <c r="E8" s="9"/>
      <c r="F8" s="9"/>
      <c r="G8" s="9"/>
      <c r="H8" s="9"/>
      <c r="I8" s="9"/>
      <c r="J8" s="9"/>
      <c r="K8" s="9"/>
      <c r="L8" s="9" t="s">
        <v>2</v>
      </c>
      <c r="M8" s="9" t="s">
        <v>3</v>
      </c>
      <c r="N8" s="9" t="s">
        <v>4</v>
      </c>
      <c r="O8" s="9" t="s">
        <v>5</v>
      </c>
      <c r="P8" s="9" t="s">
        <v>6</v>
      </c>
      <c r="Q8" s="9" t="s">
        <v>7</v>
      </c>
      <c r="R8" s="9"/>
    </row>
    <row r="9" spans="1:18" x14ac:dyDescent="0.25">
      <c r="A9" s="1"/>
      <c r="B9" s="1"/>
      <c r="C9" s="1"/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/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9"/>
    </row>
    <row r="10" spans="1:18" ht="60" x14ac:dyDescent="0.25">
      <c r="A10" s="2" t="s">
        <v>16</v>
      </c>
      <c r="B10" s="2"/>
      <c r="C10" s="2" t="s">
        <v>18</v>
      </c>
      <c r="D10" s="6" t="s">
        <v>19</v>
      </c>
      <c r="E10" s="6" t="s">
        <v>20</v>
      </c>
      <c r="F10" s="6" t="s">
        <v>21</v>
      </c>
      <c r="G10" s="6" t="s">
        <v>22</v>
      </c>
      <c r="H10" s="6" t="s">
        <v>23</v>
      </c>
      <c r="I10" s="6" t="s">
        <v>24</v>
      </c>
      <c r="J10" s="6" t="s">
        <v>25</v>
      </c>
      <c r="K10" s="2" t="s">
        <v>87</v>
      </c>
      <c r="L10" s="6" t="s">
        <v>15</v>
      </c>
      <c r="M10" s="6" t="s">
        <v>15</v>
      </c>
      <c r="N10" s="6" t="s">
        <v>15</v>
      </c>
      <c r="O10" s="6" t="s">
        <v>15</v>
      </c>
      <c r="P10" s="6" t="s">
        <v>15</v>
      </c>
      <c r="Q10" s="6" t="s">
        <v>15</v>
      </c>
      <c r="R10" s="2"/>
    </row>
    <row r="11" spans="1:18" x14ac:dyDescent="0.25">
      <c r="A11" s="3" t="s">
        <v>26</v>
      </c>
      <c r="B11" s="3" t="s">
        <v>27</v>
      </c>
      <c r="C11" t="s">
        <v>28</v>
      </c>
      <c r="D11" s="7">
        <v>105475.10000000002</v>
      </c>
      <c r="E11" s="7">
        <v>0</v>
      </c>
      <c r="F11" s="7">
        <v>165684.00000000003</v>
      </c>
      <c r="G11" s="7">
        <v>0</v>
      </c>
      <c r="H11" s="7">
        <v>0</v>
      </c>
      <c r="I11" s="7">
        <v>0</v>
      </c>
      <c r="J11" s="7">
        <v>18</v>
      </c>
      <c r="K11" s="7">
        <f>SUM(D11:J11)</f>
        <v>271177.10000000003</v>
      </c>
      <c r="L11" s="7">
        <v>46119.4</v>
      </c>
      <c r="M11" s="7">
        <v>0</v>
      </c>
      <c r="N11" s="7">
        <v>11645.8</v>
      </c>
      <c r="O11" s="7">
        <v>60015.3</v>
      </c>
      <c r="P11" s="7"/>
      <c r="Q11" s="7"/>
      <c r="R11" s="7">
        <v>388957.60000000003</v>
      </c>
    </row>
    <row r="12" spans="1:18" x14ac:dyDescent="0.25">
      <c r="A12" s="3"/>
      <c r="B12" s="3"/>
      <c r="C12" t="s">
        <v>29</v>
      </c>
      <c r="D12" s="7">
        <v>128.1</v>
      </c>
      <c r="E12" s="7">
        <v>0</v>
      </c>
      <c r="F12" s="7">
        <v>144225.9</v>
      </c>
      <c r="G12" s="7">
        <v>0.3</v>
      </c>
      <c r="H12" s="7">
        <v>0</v>
      </c>
      <c r="I12" s="7">
        <v>48.099999999999994</v>
      </c>
      <c r="J12" s="7">
        <v>76039.100000000006</v>
      </c>
      <c r="K12" s="7">
        <f t="shared" ref="K12:K23" si="0">SUM(D12:J12)</f>
        <v>220441.5</v>
      </c>
      <c r="L12" s="7">
        <v>152184.70000000001</v>
      </c>
      <c r="M12" s="7">
        <v>-25270.5</v>
      </c>
      <c r="N12" s="7">
        <v>12063.3</v>
      </c>
      <c r="O12" s="7">
        <v>11304.4</v>
      </c>
      <c r="P12" s="7"/>
      <c r="Q12" s="7"/>
      <c r="R12" s="7">
        <v>370723.4</v>
      </c>
    </row>
    <row r="13" spans="1:18" x14ac:dyDescent="0.25">
      <c r="A13" s="3"/>
      <c r="B13" s="3"/>
      <c r="C13" t="s">
        <v>30</v>
      </c>
      <c r="D13" s="7">
        <v>7940.6</v>
      </c>
      <c r="E13" s="7">
        <v>7184.8</v>
      </c>
      <c r="F13" s="7">
        <v>65106.8</v>
      </c>
      <c r="G13" s="7">
        <v>35298.1</v>
      </c>
      <c r="H13" s="7">
        <v>73552.899999999994</v>
      </c>
      <c r="I13" s="7">
        <v>111484.3</v>
      </c>
      <c r="J13" s="7">
        <v>286589.20000000007</v>
      </c>
      <c r="K13" s="7">
        <f t="shared" si="0"/>
        <v>587156.70000000007</v>
      </c>
      <c r="L13" s="7">
        <v>181061.8</v>
      </c>
      <c r="M13" s="7">
        <v>-3523.4</v>
      </c>
      <c r="N13" s="7">
        <v>31351.000000000004</v>
      </c>
      <c r="O13" s="7">
        <v>-71320</v>
      </c>
      <c r="P13" s="7"/>
      <c r="Q13" s="7"/>
      <c r="R13" s="7">
        <v>724726.1</v>
      </c>
    </row>
    <row r="14" spans="1:18" x14ac:dyDescent="0.25">
      <c r="A14" s="3"/>
      <c r="B14" s="3" t="s">
        <v>3</v>
      </c>
      <c r="C14" t="s">
        <v>15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f t="shared" si="0"/>
        <v>0</v>
      </c>
      <c r="L14" s="7">
        <v>-28793.9</v>
      </c>
      <c r="M14" s="7">
        <v>28793.9</v>
      </c>
      <c r="N14" s="7">
        <v>0</v>
      </c>
      <c r="O14" s="7">
        <v>0</v>
      </c>
      <c r="P14" s="7"/>
      <c r="Q14" s="7"/>
      <c r="R14" s="7">
        <v>0</v>
      </c>
    </row>
    <row r="15" spans="1:18" x14ac:dyDescent="0.25">
      <c r="A15" s="3"/>
      <c r="B15" s="3" t="s">
        <v>31</v>
      </c>
      <c r="C15" t="s">
        <v>15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f t="shared" si="0"/>
        <v>0</v>
      </c>
      <c r="L15" s="7">
        <v>6658.9</v>
      </c>
      <c r="M15" s="7">
        <v>0</v>
      </c>
      <c r="N15" s="7">
        <v>0</v>
      </c>
      <c r="O15" s="7">
        <v>0</v>
      </c>
      <c r="P15" s="7"/>
      <c r="Q15" s="7"/>
      <c r="R15" s="7">
        <v>6658.9</v>
      </c>
    </row>
    <row r="16" spans="1:18" x14ac:dyDescent="0.25">
      <c r="A16" s="5" t="s">
        <v>68</v>
      </c>
      <c r="B16" s="5"/>
      <c r="C16" s="5"/>
      <c r="D16" s="8">
        <v>113543.80000000003</v>
      </c>
      <c r="E16" s="8">
        <v>7184.8</v>
      </c>
      <c r="F16" s="8">
        <v>375016.7</v>
      </c>
      <c r="G16" s="8">
        <v>35298.400000000001</v>
      </c>
      <c r="H16" s="8">
        <v>73552.899999999994</v>
      </c>
      <c r="I16" s="8">
        <v>111532.40000000001</v>
      </c>
      <c r="J16" s="8">
        <v>362646.30000000005</v>
      </c>
      <c r="K16" s="8">
        <f t="shared" si="0"/>
        <v>1078775.3000000003</v>
      </c>
      <c r="L16" s="8">
        <f>SUM(L11:L13)</f>
        <v>379365.9</v>
      </c>
      <c r="M16" s="8">
        <v>0</v>
      </c>
      <c r="N16" s="8">
        <v>55060.100000000006</v>
      </c>
      <c r="O16" s="8">
        <v>-0.30000000000291038</v>
      </c>
      <c r="P16" s="8"/>
      <c r="Q16" s="8"/>
      <c r="R16" s="8">
        <v>1491066</v>
      </c>
    </row>
    <row r="17" spans="1:18" x14ac:dyDescent="0.25">
      <c r="A17" s="3" t="s">
        <v>32</v>
      </c>
      <c r="B17" s="3" t="s">
        <v>33</v>
      </c>
      <c r="C17" t="s">
        <v>28</v>
      </c>
      <c r="D17" s="7">
        <v>20035.299999999992</v>
      </c>
      <c r="E17" s="7">
        <v>41.2</v>
      </c>
      <c r="F17" s="7">
        <v>90903.999999999985</v>
      </c>
      <c r="G17" s="7">
        <v>128.6</v>
      </c>
      <c r="H17" s="7">
        <v>0</v>
      </c>
      <c r="I17" s="7">
        <v>232.49999999999997</v>
      </c>
      <c r="J17" s="7">
        <v>15019.599999999999</v>
      </c>
      <c r="K17" s="7">
        <f t="shared" si="0"/>
        <v>126361.19999999998</v>
      </c>
      <c r="L17" s="7">
        <v>76023.399999999994</v>
      </c>
      <c r="M17" s="7"/>
      <c r="N17" s="7"/>
      <c r="O17" s="7"/>
      <c r="P17" s="7">
        <v>171633.5</v>
      </c>
      <c r="Q17" s="7">
        <v>14939.499999999998</v>
      </c>
      <c r="R17" s="7">
        <v>388957.6</v>
      </c>
    </row>
    <row r="18" spans="1:18" x14ac:dyDescent="0.25">
      <c r="A18" s="3"/>
      <c r="B18" s="3"/>
      <c r="C18" t="s">
        <v>29</v>
      </c>
      <c r="D18" s="7">
        <v>13548.4</v>
      </c>
      <c r="E18" s="7">
        <v>372.7</v>
      </c>
      <c r="F18" s="7">
        <v>119279.90000000001</v>
      </c>
      <c r="G18" s="7">
        <v>717.5</v>
      </c>
      <c r="H18" s="7">
        <v>2914.1000000000004</v>
      </c>
      <c r="I18" s="7">
        <v>6891.8</v>
      </c>
      <c r="J18" s="7">
        <v>19902.099999999991</v>
      </c>
      <c r="K18" s="7">
        <f t="shared" si="0"/>
        <v>163626.5</v>
      </c>
      <c r="L18" s="7">
        <v>106830.8</v>
      </c>
      <c r="M18" s="7"/>
      <c r="N18" s="7"/>
      <c r="O18" s="7"/>
      <c r="P18" s="7">
        <v>94631.299999999988</v>
      </c>
      <c r="Q18" s="7">
        <v>5635.3</v>
      </c>
      <c r="R18" s="7">
        <v>370723.89999999997</v>
      </c>
    </row>
    <row r="19" spans="1:18" x14ac:dyDescent="0.25">
      <c r="A19" s="3"/>
      <c r="B19" s="3"/>
      <c r="C19" t="s">
        <v>30</v>
      </c>
      <c r="D19" s="7">
        <v>13168.7</v>
      </c>
      <c r="E19" s="7">
        <v>2897.5</v>
      </c>
      <c r="F19" s="7">
        <v>67651.400000000009</v>
      </c>
      <c r="G19" s="7">
        <v>17174</v>
      </c>
      <c r="H19" s="7">
        <v>35988.899999999994</v>
      </c>
      <c r="I19" s="7">
        <v>23070.300000000003</v>
      </c>
      <c r="J19" s="7">
        <v>108611.99999999999</v>
      </c>
      <c r="K19" s="7">
        <f t="shared" si="0"/>
        <v>268562.8</v>
      </c>
      <c r="L19" s="7">
        <v>51424.5</v>
      </c>
      <c r="M19" s="7"/>
      <c r="N19" s="7"/>
      <c r="O19" s="7"/>
      <c r="P19" s="7">
        <v>272448.20000000007</v>
      </c>
      <c r="Q19" s="7">
        <v>132290.4</v>
      </c>
      <c r="R19" s="7">
        <v>724725.9</v>
      </c>
    </row>
    <row r="20" spans="1:18" x14ac:dyDescent="0.25">
      <c r="A20" s="3"/>
      <c r="B20" s="3" t="s">
        <v>3</v>
      </c>
      <c r="C20" t="s">
        <v>15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f t="shared" si="0"/>
        <v>0</v>
      </c>
      <c r="L20" s="7">
        <v>0</v>
      </c>
      <c r="M20" s="7"/>
      <c r="N20" s="7"/>
      <c r="O20" s="7"/>
      <c r="P20" s="7">
        <v>0</v>
      </c>
      <c r="Q20" s="7">
        <v>0</v>
      </c>
      <c r="R20" s="7">
        <v>0</v>
      </c>
    </row>
    <row r="21" spans="1:18" x14ac:dyDescent="0.25">
      <c r="A21" s="3"/>
      <c r="B21" s="3" t="s">
        <v>34</v>
      </c>
      <c r="C21" t="s">
        <v>15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f t="shared" si="0"/>
        <v>0</v>
      </c>
      <c r="L21" s="7">
        <v>4204.6000000000004</v>
      </c>
      <c r="M21" s="7"/>
      <c r="N21" s="7"/>
      <c r="O21" s="7"/>
      <c r="P21" s="7">
        <v>2454.3000000000002</v>
      </c>
      <c r="Q21" s="7">
        <v>0</v>
      </c>
      <c r="R21" s="7">
        <v>6658.9000000000005</v>
      </c>
    </row>
    <row r="22" spans="1:18" x14ac:dyDescent="0.25">
      <c r="A22" s="5" t="s">
        <v>70</v>
      </c>
      <c r="B22" s="5"/>
      <c r="C22" s="5"/>
      <c r="D22" s="8">
        <v>46752.399999999994</v>
      </c>
      <c r="E22" s="8">
        <v>3311.4</v>
      </c>
      <c r="F22" s="8">
        <v>277835.3</v>
      </c>
      <c r="G22" s="8">
        <v>18020.099999999999</v>
      </c>
      <c r="H22" s="8">
        <v>38902.999999999993</v>
      </c>
      <c r="I22" s="8">
        <v>30194.600000000002</v>
      </c>
      <c r="J22" s="8">
        <v>143533.69999999998</v>
      </c>
      <c r="K22" s="8">
        <f t="shared" si="0"/>
        <v>558550.49999999988</v>
      </c>
      <c r="L22" s="8">
        <v>238483.30000000002</v>
      </c>
      <c r="M22" s="8"/>
      <c r="N22" s="8"/>
      <c r="O22" s="8"/>
      <c r="P22" s="8">
        <v>541167.30000000005</v>
      </c>
      <c r="Q22" s="8">
        <v>152865.19999999998</v>
      </c>
      <c r="R22" s="8">
        <v>1491066.2999999998</v>
      </c>
    </row>
    <row r="23" spans="1:18" x14ac:dyDescent="0.25">
      <c r="A23" s="5" t="s">
        <v>35</v>
      </c>
      <c r="B23" s="5"/>
      <c r="C23" s="5"/>
      <c r="D23" s="8">
        <v>66791.5</v>
      </c>
      <c r="E23" s="8">
        <v>3873.4</v>
      </c>
      <c r="F23" s="8">
        <v>97181.2</v>
      </c>
      <c r="G23" s="8">
        <v>17278.099999999999</v>
      </c>
      <c r="H23" s="8">
        <v>34649.699999999997</v>
      </c>
      <c r="I23" s="8">
        <v>81338</v>
      </c>
      <c r="J23" s="8">
        <v>219113.30000000002</v>
      </c>
      <c r="K23" s="8">
        <f t="shared" si="0"/>
        <v>520225.19999999995</v>
      </c>
      <c r="L23" s="8"/>
      <c r="M23" s="8"/>
      <c r="N23" s="8"/>
      <c r="O23" s="8"/>
      <c r="P23" s="8"/>
      <c r="Q23" s="8"/>
      <c r="R23" s="8">
        <v>520225.19999999995</v>
      </c>
    </row>
    <row r="33" spans="2:17" hidden="1" x14ac:dyDescent="0.25">
      <c r="B33" t="s">
        <v>27</v>
      </c>
      <c r="C33" t="s">
        <v>28</v>
      </c>
      <c r="D33" s="13">
        <f>D11/D$16</f>
        <v>0.92893755537510625</v>
      </c>
      <c r="E33" s="13">
        <f t="shared" ref="E33:N33" si="1">E11/E$16</f>
        <v>0</v>
      </c>
      <c r="F33" s="13">
        <f t="shared" si="1"/>
        <v>0.44180432498072758</v>
      </c>
      <c r="G33" s="13">
        <f t="shared" si="1"/>
        <v>0</v>
      </c>
      <c r="H33" s="13">
        <f t="shared" si="1"/>
        <v>0</v>
      </c>
      <c r="I33" s="13">
        <f t="shared" si="1"/>
        <v>0</v>
      </c>
      <c r="J33" s="13">
        <f t="shared" si="1"/>
        <v>4.9635140355768134E-5</v>
      </c>
      <c r="K33" s="13">
        <f t="shared" si="1"/>
        <v>0.25137496195917719</v>
      </c>
      <c r="L33" s="13">
        <f t="shared" si="1"/>
        <v>0.1215697035500555</v>
      </c>
      <c r="M33" s="13"/>
      <c r="N33" s="13">
        <f t="shared" si="1"/>
        <v>0.21151069467727079</v>
      </c>
      <c r="O33" s="13"/>
      <c r="P33" s="13"/>
      <c r="Q33" s="13"/>
    </row>
    <row r="34" spans="2:17" hidden="1" x14ac:dyDescent="0.25">
      <c r="C34" t="s">
        <v>29</v>
      </c>
      <c r="D34" s="13">
        <f t="shared" ref="D34:N35" si="2">D12/D$16</f>
        <v>1.128198985765845E-3</v>
      </c>
      <c r="E34" s="13">
        <f t="shared" si="2"/>
        <v>0</v>
      </c>
      <c r="F34" s="13">
        <f t="shared" si="2"/>
        <v>0.38458527313583635</v>
      </c>
      <c r="G34" s="13">
        <f t="shared" si="2"/>
        <v>8.4989687917865957E-6</v>
      </c>
      <c r="H34" s="13">
        <f t="shared" si="2"/>
        <v>0</v>
      </c>
      <c r="I34" s="13">
        <f t="shared" si="2"/>
        <v>4.3126481632243179E-4</v>
      </c>
      <c r="J34" s="13">
        <f t="shared" si="2"/>
        <v>0.20967841116812716</v>
      </c>
      <c r="K34" s="13">
        <f t="shared" si="2"/>
        <v>0.20434422256423551</v>
      </c>
      <c r="L34" s="13">
        <f t="shared" si="2"/>
        <v>0.40115545440430994</v>
      </c>
      <c r="M34" s="13"/>
      <c r="N34" s="13">
        <f t="shared" si="2"/>
        <v>0.2190933180288448</v>
      </c>
      <c r="O34" s="13"/>
      <c r="P34" s="13"/>
      <c r="Q34" s="13"/>
    </row>
    <row r="35" spans="2:17" hidden="1" x14ac:dyDescent="0.25">
      <c r="C35" t="s">
        <v>30</v>
      </c>
      <c r="D35" s="13">
        <f t="shared" si="2"/>
        <v>6.9934245639127798E-2</v>
      </c>
      <c r="E35" s="13">
        <f t="shared" si="2"/>
        <v>1</v>
      </c>
      <c r="F35" s="13">
        <f t="shared" si="2"/>
        <v>0.17361040188343613</v>
      </c>
      <c r="G35" s="13">
        <f t="shared" si="2"/>
        <v>0.99999150103120815</v>
      </c>
      <c r="H35" s="13">
        <f t="shared" si="2"/>
        <v>1</v>
      </c>
      <c r="I35" s="13">
        <f t="shared" si="2"/>
        <v>0.9995687351836775</v>
      </c>
      <c r="J35" s="13">
        <f t="shared" si="2"/>
        <v>0.79027195369151715</v>
      </c>
      <c r="K35" s="13">
        <f t="shared" si="2"/>
        <v>0.54428081547658713</v>
      </c>
      <c r="L35" s="13">
        <f t="shared" si="2"/>
        <v>0.47727484204563453</v>
      </c>
      <c r="M35" s="13"/>
      <c r="N35" s="13">
        <f t="shared" si="2"/>
        <v>0.5693959872938843</v>
      </c>
      <c r="O35" s="13"/>
      <c r="P35" s="13"/>
      <c r="Q35" s="13"/>
    </row>
    <row r="36" spans="2:17" hidden="1" x14ac:dyDescent="0.25">
      <c r="B36" t="s">
        <v>3</v>
      </c>
      <c r="C36" t="s">
        <v>15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2:17" hidden="1" x14ac:dyDescent="0.25">
      <c r="B37" t="s">
        <v>31</v>
      </c>
      <c r="C37" t="s">
        <v>15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2:17" hidden="1" x14ac:dyDescent="0.25"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2:17" hidden="1" x14ac:dyDescent="0.25">
      <c r="B39" t="s">
        <v>33</v>
      </c>
      <c r="C39" t="s">
        <v>28</v>
      </c>
      <c r="D39" s="13">
        <f>D17/D$22</f>
        <v>0.42854056690137821</v>
      </c>
      <c r="E39" s="13">
        <f t="shared" ref="E39:Q39" si="3">E17/E$22</f>
        <v>1.2441867488071511E-2</v>
      </c>
      <c r="F39" s="13">
        <f t="shared" si="3"/>
        <v>0.3271866461893071</v>
      </c>
      <c r="G39" s="13">
        <f t="shared" si="3"/>
        <v>7.1364753802698102E-3</v>
      </c>
      <c r="H39" s="13">
        <f t="shared" si="3"/>
        <v>0</v>
      </c>
      <c r="I39" s="13">
        <f t="shared" si="3"/>
        <v>7.7000523272373195E-3</v>
      </c>
      <c r="J39" s="13">
        <f t="shared" si="3"/>
        <v>0.1046416277153031</v>
      </c>
      <c r="K39" s="13">
        <f t="shared" si="3"/>
        <v>0.22623057360077559</v>
      </c>
      <c r="L39" s="13">
        <f t="shared" si="3"/>
        <v>0.31877871532304353</v>
      </c>
      <c r="M39" s="13"/>
      <c r="N39" s="13"/>
      <c r="O39" s="13"/>
      <c r="P39" s="13">
        <f t="shared" si="3"/>
        <v>0.3171542330809714</v>
      </c>
      <c r="Q39" s="13">
        <f t="shared" si="3"/>
        <v>9.7729895358786692E-2</v>
      </c>
    </row>
    <row r="40" spans="2:17" hidden="1" x14ac:dyDescent="0.25">
      <c r="C40" t="s">
        <v>29</v>
      </c>
      <c r="D40" s="13">
        <f t="shared" ref="D40:Q41" si="4">D18/D$22</f>
        <v>0.28979047064963515</v>
      </c>
      <c r="E40" s="13">
        <f t="shared" si="4"/>
        <v>0.11255058283505465</v>
      </c>
      <c r="F40" s="13">
        <f t="shared" si="4"/>
        <v>0.42931873667600917</v>
      </c>
      <c r="G40" s="13">
        <f t="shared" si="4"/>
        <v>3.9816649186186541E-2</v>
      </c>
      <c r="H40" s="13">
        <f t="shared" si="4"/>
        <v>7.4906819525486487E-2</v>
      </c>
      <c r="I40" s="13">
        <f t="shared" si="4"/>
        <v>0.2282461102316308</v>
      </c>
      <c r="J40" s="13">
        <f t="shared" si="4"/>
        <v>0.13865802943838271</v>
      </c>
      <c r="K40" s="13">
        <f t="shared" si="4"/>
        <v>0.29294844423198985</v>
      </c>
      <c r="L40" s="13">
        <f t="shared" si="4"/>
        <v>0.44795924913819957</v>
      </c>
      <c r="M40" s="13"/>
      <c r="N40" s="13"/>
      <c r="O40" s="13"/>
      <c r="P40" s="13">
        <f t="shared" si="4"/>
        <v>0.17486514798658379</v>
      </c>
      <c r="Q40" s="13">
        <f t="shared" si="4"/>
        <v>3.6864505459712225E-2</v>
      </c>
    </row>
    <row r="41" spans="2:17" hidden="1" x14ac:dyDescent="0.25">
      <c r="C41" t="s">
        <v>30</v>
      </c>
      <c r="D41" s="13">
        <f t="shared" si="4"/>
        <v>0.28166896244898665</v>
      </c>
      <c r="E41" s="13">
        <f t="shared" si="4"/>
        <v>0.87500754967687377</v>
      </c>
      <c r="F41" s="13">
        <f t="shared" si="4"/>
        <v>0.24349461713468379</v>
      </c>
      <c r="G41" s="13">
        <f t="shared" si="4"/>
        <v>0.95304687543354372</v>
      </c>
      <c r="H41" s="13">
        <f t="shared" si="4"/>
        <v>0.92509318047451361</v>
      </c>
      <c r="I41" s="13">
        <f t="shared" si="4"/>
        <v>0.76405383744113187</v>
      </c>
      <c r="J41" s="13">
        <f t="shared" si="4"/>
        <v>0.75670034284631416</v>
      </c>
      <c r="K41" s="13">
        <f t="shared" si="4"/>
        <v>0.48082098216723473</v>
      </c>
      <c r="L41" s="13">
        <f t="shared" si="4"/>
        <v>0.21563145092339797</v>
      </c>
      <c r="M41" s="13"/>
      <c r="N41" s="13"/>
      <c r="O41" s="13"/>
      <c r="P41" s="13">
        <f t="shared" si="4"/>
        <v>0.50344542251536639</v>
      </c>
      <c r="Q41" s="13">
        <f t="shared" si="4"/>
        <v>0.86540559918150117</v>
      </c>
    </row>
  </sheetData>
  <hyperlinks>
    <hyperlink ref="K1" location="Contenido!A1" display="Contenido" xr:uid="{85E40B07-5B21-4BD5-9723-BC7A8CFBA99C}"/>
  </hyperlinks>
  <pageMargins left="0.7" right="0.7" top="0.75" bottom="0.75" header="0.3" footer="0.3"/>
  <pageSetup scale="4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4B27-4EC9-462C-8BD8-1530DAF6FD11}">
  <sheetPr>
    <pageSetUpPr fitToPage="1"/>
  </sheetPr>
  <dimension ref="A1:R41"/>
  <sheetViews>
    <sheetView workbookViewId="0">
      <selection activeCell="B12" sqref="B12"/>
    </sheetView>
  </sheetViews>
  <sheetFormatPr defaultRowHeight="15" x14ac:dyDescent="0.25"/>
  <cols>
    <col min="1" max="1" width="21.85546875" customWidth="1"/>
    <col min="2" max="2" width="32.5703125" customWidth="1"/>
    <col min="3" max="3" width="24.5703125" bestFit="1" customWidth="1"/>
    <col min="4" max="18" width="15.7109375" customWidth="1"/>
  </cols>
  <sheetData>
    <row r="1" spans="1:18" x14ac:dyDescent="0.25">
      <c r="A1" s="22" t="s">
        <v>77</v>
      </c>
      <c r="K1" s="28" t="s">
        <v>122</v>
      </c>
    </row>
    <row r="2" spans="1:18" x14ac:dyDescent="0.25">
      <c r="A2" s="22" t="s">
        <v>118</v>
      </c>
    </row>
    <row r="3" spans="1:18" x14ac:dyDescent="0.25">
      <c r="A3" s="22" t="s">
        <v>64</v>
      </c>
    </row>
    <row r="4" spans="1:18" x14ac:dyDescent="0.25">
      <c r="A4" s="22" t="s">
        <v>41</v>
      </c>
    </row>
    <row r="5" spans="1:18" x14ac:dyDescent="0.25">
      <c r="A5" s="22" t="s">
        <v>78</v>
      </c>
    </row>
    <row r="6" spans="1:18" x14ac:dyDescent="0.25">
      <c r="A6" s="27" t="s">
        <v>103</v>
      </c>
    </row>
    <row r="8" spans="1:18" s="12" customFormat="1" ht="75" x14ac:dyDescent="0.25">
      <c r="A8" s="9"/>
      <c r="B8" s="9"/>
      <c r="C8" s="9"/>
      <c r="D8" s="9" t="s">
        <v>1</v>
      </c>
      <c r="E8" s="9"/>
      <c r="F8" s="9"/>
      <c r="G8" s="9"/>
      <c r="H8" s="9"/>
      <c r="I8" s="9"/>
      <c r="J8" s="9"/>
      <c r="K8" s="9"/>
      <c r="L8" s="9" t="s">
        <v>2</v>
      </c>
      <c r="M8" s="9" t="s">
        <v>3</v>
      </c>
      <c r="N8" s="9" t="s">
        <v>4</v>
      </c>
      <c r="O8" s="9" t="s">
        <v>5</v>
      </c>
      <c r="P8" s="9" t="s">
        <v>6</v>
      </c>
      <c r="Q8" s="9" t="s">
        <v>7</v>
      </c>
      <c r="R8" s="9"/>
    </row>
    <row r="9" spans="1:18" x14ac:dyDescent="0.25">
      <c r="A9" s="1"/>
      <c r="B9" s="1"/>
      <c r="C9" s="1"/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/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9"/>
    </row>
    <row r="10" spans="1:18" ht="60" x14ac:dyDescent="0.25">
      <c r="A10" s="2" t="s">
        <v>16</v>
      </c>
      <c r="B10" s="2"/>
      <c r="C10" s="2" t="s">
        <v>18</v>
      </c>
      <c r="D10" s="6" t="s">
        <v>19</v>
      </c>
      <c r="E10" s="6" t="s">
        <v>20</v>
      </c>
      <c r="F10" s="6" t="s">
        <v>21</v>
      </c>
      <c r="G10" s="6" t="s">
        <v>22</v>
      </c>
      <c r="H10" s="6" t="s">
        <v>23</v>
      </c>
      <c r="I10" s="6" t="s">
        <v>24</v>
      </c>
      <c r="J10" s="6" t="s">
        <v>25</v>
      </c>
      <c r="K10" s="2" t="s">
        <v>87</v>
      </c>
      <c r="L10" s="6" t="s">
        <v>15</v>
      </c>
      <c r="M10" s="6" t="s">
        <v>15</v>
      </c>
      <c r="N10" s="6" t="s">
        <v>15</v>
      </c>
      <c r="O10" s="6" t="s">
        <v>15</v>
      </c>
      <c r="P10" s="6" t="s">
        <v>15</v>
      </c>
      <c r="Q10" s="6" t="s">
        <v>15</v>
      </c>
      <c r="R10" s="2"/>
    </row>
    <row r="11" spans="1:18" x14ac:dyDescent="0.25">
      <c r="A11" s="3" t="s">
        <v>26</v>
      </c>
      <c r="B11" s="3" t="s">
        <v>27</v>
      </c>
      <c r="C11" t="s">
        <v>28</v>
      </c>
      <c r="D11" s="7">
        <v>103025.5650698792</v>
      </c>
      <c r="E11" s="7">
        <v>0</v>
      </c>
      <c r="F11" s="7">
        <v>113640.27159381297</v>
      </c>
      <c r="G11" s="7">
        <v>0</v>
      </c>
      <c r="H11" s="7">
        <v>0</v>
      </c>
      <c r="I11" s="7">
        <v>55.029479836103661</v>
      </c>
      <c r="J11" s="7">
        <v>46.782274950691637</v>
      </c>
      <c r="K11" s="7">
        <f>SUM(D11:J11)</f>
        <v>216767.64841847899</v>
      </c>
      <c r="L11" s="7">
        <v>33505.56200383258</v>
      </c>
      <c r="M11" s="7">
        <v>0</v>
      </c>
      <c r="N11" s="7">
        <v>10427.152792207455</v>
      </c>
      <c r="O11" s="7">
        <v>32215.214452130065</v>
      </c>
      <c r="P11" s="7"/>
      <c r="Q11" s="7"/>
      <c r="R11" s="7">
        <v>292915.57766664907</v>
      </c>
    </row>
    <row r="12" spans="1:18" x14ac:dyDescent="0.25">
      <c r="A12" s="3"/>
      <c r="B12" s="3"/>
      <c r="C12" t="s">
        <v>29</v>
      </c>
      <c r="D12" s="7">
        <v>0</v>
      </c>
      <c r="E12" s="7">
        <v>0</v>
      </c>
      <c r="F12" s="7">
        <v>44068.280915038958</v>
      </c>
      <c r="G12" s="7">
        <v>3692.4168593360901</v>
      </c>
      <c r="H12" s="7">
        <v>0</v>
      </c>
      <c r="I12" s="7">
        <v>205.08520634309966</v>
      </c>
      <c r="J12" s="7">
        <v>29671.743243292109</v>
      </c>
      <c r="K12" s="7">
        <f t="shared" ref="K12:K23" si="0">SUM(D12:J12)</f>
        <v>77637.52622401026</v>
      </c>
      <c r="L12" s="7">
        <v>72771.206034001996</v>
      </c>
      <c r="M12" s="7">
        <v>0</v>
      </c>
      <c r="N12" s="7">
        <v>5501.2033988039375</v>
      </c>
      <c r="O12" s="7">
        <v>14546.889679691485</v>
      </c>
      <c r="P12" s="7"/>
      <c r="Q12" s="7"/>
      <c r="R12" s="7">
        <v>170456.8253365077</v>
      </c>
    </row>
    <row r="13" spans="1:18" x14ac:dyDescent="0.25">
      <c r="A13" s="3"/>
      <c r="B13" s="3"/>
      <c r="C13" t="s">
        <v>30</v>
      </c>
      <c r="D13" s="7">
        <v>10.288130000000001</v>
      </c>
      <c r="E13" s="7">
        <v>17047.581137907418</v>
      </c>
      <c r="F13" s="7">
        <v>49338.364124935346</v>
      </c>
      <c r="G13" s="7">
        <v>25719.452172996167</v>
      </c>
      <c r="H13" s="7">
        <v>66146.372642609829</v>
      </c>
      <c r="I13" s="7">
        <v>68813.398312517704</v>
      </c>
      <c r="J13" s="7">
        <v>224565.13410042328</v>
      </c>
      <c r="K13" s="7">
        <f t="shared" si="0"/>
        <v>451640.59062138974</v>
      </c>
      <c r="L13" s="7">
        <v>119885.64310176668</v>
      </c>
      <c r="M13" s="7">
        <v>-13904.152356055549</v>
      </c>
      <c r="N13" s="7">
        <v>19705.736351308169</v>
      </c>
      <c r="O13" s="7">
        <v>-46762.104490660684</v>
      </c>
      <c r="P13" s="7"/>
      <c r="Q13" s="7"/>
      <c r="R13" s="7">
        <v>530565.71322774829</v>
      </c>
    </row>
    <row r="14" spans="1:18" x14ac:dyDescent="0.25">
      <c r="A14" s="3"/>
      <c r="B14" s="3" t="s">
        <v>3</v>
      </c>
      <c r="C14" t="s">
        <v>15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f t="shared" si="0"/>
        <v>0</v>
      </c>
      <c r="L14" s="7">
        <v>-13904.1523560556</v>
      </c>
      <c r="M14" s="7">
        <v>13904.1523560556</v>
      </c>
      <c r="N14" s="7">
        <v>0</v>
      </c>
      <c r="O14" s="7">
        <v>0</v>
      </c>
      <c r="P14" s="7"/>
      <c r="Q14" s="7"/>
      <c r="R14" s="7">
        <v>0</v>
      </c>
    </row>
    <row r="15" spans="1:18" ht="30" x14ac:dyDescent="0.25">
      <c r="A15" s="3"/>
      <c r="B15" s="25" t="s">
        <v>31</v>
      </c>
      <c r="C15" t="s">
        <v>15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f t="shared" si="0"/>
        <v>0</v>
      </c>
      <c r="L15" s="7">
        <v>253.531915141317</v>
      </c>
      <c r="M15" s="7">
        <v>0</v>
      </c>
      <c r="N15" s="7">
        <v>0</v>
      </c>
      <c r="O15" s="7">
        <v>0</v>
      </c>
      <c r="P15" s="7"/>
      <c r="Q15" s="7"/>
      <c r="R15" s="7">
        <v>253.531915141317</v>
      </c>
    </row>
    <row r="16" spans="1:18" x14ac:dyDescent="0.25">
      <c r="A16" s="5" t="s">
        <v>68</v>
      </c>
      <c r="B16" s="5"/>
      <c r="C16" s="5"/>
      <c r="D16" s="8">
        <v>103035.8531998792</v>
      </c>
      <c r="E16" s="8">
        <v>17047.581137907418</v>
      </c>
      <c r="F16" s="8">
        <v>207046.91663378727</v>
      </c>
      <c r="G16" s="8">
        <v>29411.869032332259</v>
      </c>
      <c r="H16" s="8">
        <v>66146.372642609829</v>
      </c>
      <c r="I16" s="8">
        <v>69073.512998696911</v>
      </c>
      <c r="J16" s="8">
        <v>254283.65961866608</v>
      </c>
      <c r="K16" s="8">
        <f t="shared" si="0"/>
        <v>746045.76526387897</v>
      </c>
      <c r="L16" s="8">
        <f>SUM(L11:L13)</f>
        <v>226162.41113960126</v>
      </c>
      <c r="M16" s="8">
        <v>5.0931703299283981E-11</v>
      </c>
      <c r="N16" s="8">
        <v>35634.092542319559</v>
      </c>
      <c r="O16" s="8">
        <v>-3.5883913369616494E-4</v>
      </c>
      <c r="P16" s="8"/>
      <c r="Q16" s="8"/>
      <c r="R16" s="8">
        <v>994191.64814604633</v>
      </c>
    </row>
    <row r="17" spans="1:18" x14ac:dyDescent="0.25">
      <c r="A17" s="3" t="s">
        <v>32</v>
      </c>
      <c r="B17" s="3" t="s">
        <v>33</v>
      </c>
      <c r="C17" t="s">
        <v>28</v>
      </c>
      <c r="D17" s="7">
        <v>16598.479009273738</v>
      </c>
      <c r="E17" s="7">
        <v>108.90646824740075</v>
      </c>
      <c r="F17" s="7">
        <v>68264.802779342397</v>
      </c>
      <c r="G17" s="7">
        <v>2.8974342993464992</v>
      </c>
      <c r="H17" s="7">
        <v>38.839767440270499</v>
      </c>
      <c r="I17" s="7">
        <v>118.91473325843256</v>
      </c>
      <c r="J17" s="7">
        <v>12939.09396917015</v>
      </c>
      <c r="K17" s="7">
        <f t="shared" si="0"/>
        <v>98071.934161031735</v>
      </c>
      <c r="L17" s="7">
        <v>76454.427839182317</v>
      </c>
      <c r="M17" s="7"/>
      <c r="N17" s="7"/>
      <c r="O17" s="7"/>
      <c r="P17" s="7">
        <v>105885.36544174641</v>
      </c>
      <c r="Q17" s="7">
        <v>12503.850224687836</v>
      </c>
      <c r="R17" s="7">
        <v>292915.57766664831</v>
      </c>
    </row>
    <row r="18" spans="1:18" x14ac:dyDescent="0.25">
      <c r="A18" s="3"/>
      <c r="B18" s="3"/>
      <c r="C18" t="s">
        <v>29</v>
      </c>
      <c r="D18" s="7">
        <v>11886.306499714294</v>
      </c>
      <c r="E18" s="7">
        <v>783.22110993576894</v>
      </c>
      <c r="F18" s="7">
        <v>33716.105162167085</v>
      </c>
      <c r="G18" s="7">
        <v>491.39267270767397</v>
      </c>
      <c r="H18" s="7">
        <v>4133.6800543694289</v>
      </c>
      <c r="I18" s="7">
        <v>2402.0491466952703</v>
      </c>
      <c r="J18" s="7">
        <v>12481.926373192848</v>
      </c>
      <c r="K18" s="7">
        <f t="shared" si="0"/>
        <v>65894.681018782372</v>
      </c>
      <c r="L18" s="7">
        <v>45097.501164689013</v>
      </c>
      <c r="M18" s="7"/>
      <c r="N18" s="7"/>
      <c r="O18" s="7"/>
      <c r="P18" s="7">
        <v>62306.591202837881</v>
      </c>
      <c r="Q18" s="7">
        <v>-2841.9480498015719</v>
      </c>
      <c r="R18" s="7">
        <v>170456.8253365077</v>
      </c>
    </row>
    <row r="19" spans="1:18" x14ac:dyDescent="0.25">
      <c r="A19" s="3"/>
      <c r="B19" s="3"/>
      <c r="C19" t="s">
        <v>30</v>
      </c>
      <c r="D19" s="7">
        <v>11578.680607289147</v>
      </c>
      <c r="E19" s="7">
        <v>5785.5774233523289</v>
      </c>
      <c r="F19" s="7">
        <v>48161.713962770518</v>
      </c>
      <c r="G19" s="7">
        <v>15163.587548376805</v>
      </c>
      <c r="H19" s="7">
        <v>40272.878444678703</v>
      </c>
      <c r="I19" s="7">
        <v>19002.811710490274</v>
      </c>
      <c r="J19" s="7">
        <v>66552.921712640586</v>
      </c>
      <c r="K19" s="7">
        <f t="shared" si="0"/>
        <v>206518.17140959835</v>
      </c>
      <c r="L19" s="7">
        <v>47934.535957084132</v>
      </c>
      <c r="M19" s="7"/>
      <c r="N19" s="7"/>
      <c r="O19" s="7"/>
      <c r="P19" s="7">
        <v>186831.23362029134</v>
      </c>
      <c r="Q19" s="7">
        <v>89281.772599400632</v>
      </c>
      <c r="R19" s="7">
        <v>530565.71358637442</v>
      </c>
    </row>
    <row r="20" spans="1:18" x14ac:dyDescent="0.25">
      <c r="A20" s="3"/>
      <c r="B20" s="3" t="s">
        <v>3</v>
      </c>
      <c r="C20" t="s">
        <v>15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f t="shared" si="0"/>
        <v>0</v>
      </c>
      <c r="L20" s="7">
        <v>0</v>
      </c>
      <c r="M20" s="7"/>
      <c r="N20" s="7"/>
      <c r="O20" s="7"/>
      <c r="P20" s="7">
        <v>0</v>
      </c>
      <c r="Q20" s="7">
        <v>0</v>
      </c>
      <c r="R20" s="7">
        <v>0</v>
      </c>
    </row>
    <row r="21" spans="1:18" ht="30" x14ac:dyDescent="0.25">
      <c r="A21" s="3"/>
      <c r="B21" s="25" t="s">
        <v>34</v>
      </c>
      <c r="C21" t="s">
        <v>15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207.480911594395</v>
      </c>
      <c r="K21" s="7">
        <f t="shared" si="0"/>
        <v>207.480911594395</v>
      </c>
      <c r="L21" s="7">
        <v>4267.3645379012896</v>
      </c>
      <c r="M21" s="7"/>
      <c r="N21" s="7"/>
      <c r="O21" s="7"/>
      <c r="P21" s="7">
        <v>-4221.3135343543699</v>
      </c>
      <c r="Q21" s="7">
        <v>0</v>
      </c>
      <c r="R21" s="7">
        <v>253.53191514131504</v>
      </c>
    </row>
    <row r="22" spans="1:18" x14ac:dyDescent="0.25">
      <c r="A22" s="5" t="s">
        <v>70</v>
      </c>
      <c r="B22" s="5"/>
      <c r="C22" s="5"/>
      <c r="D22" s="8">
        <v>40063.466116277181</v>
      </c>
      <c r="E22" s="8">
        <v>6677.7050015354989</v>
      </c>
      <c r="F22" s="8">
        <v>150142.62190427998</v>
      </c>
      <c r="G22" s="8">
        <v>15657.877655383825</v>
      </c>
      <c r="H22" s="8">
        <v>44445.398266488402</v>
      </c>
      <c r="I22" s="8">
        <v>21523.775590443976</v>
      </c>
      <c r="J22" s="8">
        <v>92181.42296659798</v>
      </c>
      <c r="K22" s="8">
        <f t="shared" si="0"/>
        <v>370692.26750100683</v>
      </c>
      <c r="L22" s="8">
        <v>173753.82949885676</v>
      </c>
      <c r="M22" s="8"/>
      <c r="N22" s="8"/>
      <c r="O22" s="8"/>
      <c r="P22" s="8">
        <v>350801.87673052127</v>
      </c>
      <c r="Q22" s="8">
        <v>98943.67477428689</v>
      </c>
      <c r="R22" s="8">
        <v>994191.64850467164</v>
      </c>
    </row>
    <row r="23" spans="1:18" x14ac:dyDescent="0.25">
      <c r="A23" s="5" t="s">
        <v>35</v>
      </c>
      <c r="B23" s="5"/>
      <c r="C23" s="5"/>
      <c r="D23" s="8">
        <v>62972.387083601934</v>
      </c>
      <c r="E23" s="8">
        <v>10369.8761363719</v>
      </c>
      <c r="F23" s="8">
        <v>56904.294729507266</v>
      </c>
      <c r="G23" s="8">
        <v>13753.991376948441</v>
      </c>
      <c r="H23" s="8">
        <v>21700.974376121449</v>
      </c>
      <c r="I23" s="8">
        <v>47549.737408252935</v>
      </c>
      <c r="J23" s="8">
        <v>162102.23665206804</v>
      </c>
      <c r="K23" s="8">
        <f t="shared" si="0"/>
        <v>375353.49776287196</v>
      </c>
      <c r="L23" s="8"/>
      <c r="M23" s="8"/>
      <c r="N23" s="8"/>
      <c r="O23" s="8"/>
      <c r="P23" s="8"/>
      <c r="Q23" s="8"/>
      <c r="R23" s="8">
        <v>375353.49776287196</v>
      </c>
    </row>
    <row r="33" spans="2:17" hidden="1" x14ac:dyDescent="0.25">
      <c r="B33" t="s">
        <v>27</v>
      </c>
      <c r="C33" t="s">
        <v>28</v>
      </c>
      <c r="D33" s="26">
        <f>D11/D$16</f>
        <v>0.9999001499994371</v>
      </c>
      <c r="E33" s="26">
        <f t="shared" ref="E33:N33" si="1">E11/E$16</f>
        <v>0</v>
      </c>
      <c r="F33" s="26">
        <f t="shared" si="1"/>
        <v>0.54886241940426173</v>
      </c>
      <c r="G33" s="26">
        <f t="shared" si="1"/>
        <v>0</v>
      </c>
      <c r="H33" s="26">
        <f t="shared" si="1"/>
        <v>0</v>
      </c>
      <c r="I33" s="26">
        <f t="shared" si="1"/>
        <v>7.9667990590172831E-4</v>
      </c>
      <c r="J33" s="26">
        <f t="shared" si="1"/>
        <v>1.839767251299128E-4</v>
      </c>
      <c r="K33" s="26">
        <f t="shared" si="1"/>
        <v>0.29055543039213888</v>
      </c>
      <c r="L33" s="26">
        <f t="shared" si="1"/>
        <v>0.14814823486804313</v>
      </c>
      <c r="M33" s="26"/>
      <c r="N33" s="26">
        <f t="shared" si="1"/>
        <v>0.29261732369988147</v>
      </c>
      <c r="O33" s="26"/>
      <c r="P33" s="26"/>
      <c r="Q33" s="26"/>
    </row>
    <row r="34" spans="2:17" hidden="1" x14ac:dyDescent="0.25">
      <c r="C34" t="s">
        <v>29</v>
      </c>
      <c r="D34" s="26">
        <f t="shared" ref="D34:N35" si="2">D12/D$16</f>
        <v>0</v>
      </c>
      <c r="E34" s="26">
        <f t="shared" si="2"/>
        <v>0</v>
      </c>
      <c r="F34" s="26">
        <f t="shared" si="2"/>
        <v>0.21284200523973226</v>
      </c>
      <c r="G34" s="26">
        <f t="shared" si="2"/>
        <v>0.12554172790845228</v>
      </c>
      <c r="H34" s="26">
        <f t="shared" si="2"/>
        <v>0</v>
      </c>
      <c r="I34" s="26">
        <f t="shared" si="2"/>
        <v>2.9690860858194463E-3</v>
      </c>
      <c r="J34" s="26">
        <f t="shared" si="2"/>
        <v>0.11668757358529856</v>
      </c>
      <c r="K34" s="26">
        <f t="shared" si="2"/>
        <v>0.10406536681640381</v>
      </c>
      <c r="L34" s="26">
        <f t="shared" si="2"/>
        <v>0.32176525562898761</v>
      </c>
      <c r="M34" s="26"/>
      <c r="N34" s="26">
        <f t="shared" si="2"/>
        <v>0.15438034214763935</v>
      </c>
      <c r="O34" s="26"/>
      <c r="P34" s="26"/>
      <c r="Q34" s="26"/>
    </row>
    <row r="35" spans="2:17" hidden="1" x14ac:dyDescent="0.25">
      <c r="C35" t="s">
        <v>30</v>
      </c>
      <c r="D35" s="26">
        <f t="shared" si="2"/>
        <v>9.9850000562833811E-5</v>
      </c>
      <c r="E35" s="26">
        <f t="shared" si="2"/>
        <v>1</v>
      </c>
      <c r="F35" s="26">
        <f t="shared" si="2"/>
        <v>0.23829557535600598</v>
      </c>
      <c r="G35" s="26">
        <f t="shared" si="2"/>
        <v>0.87445827209154769</v>
      </c>
      <c r="H35" s="26">
        <f t="shared" si="2"/>
        <v>1</v>
      </c>
      <c r="I35" s="26">
        <f t="shared" si="2"/>
        <v>0.99623423400827882</v>
      </c>
      <c r="J35" s="26">
        <f t="shared" si="2"/>
        <v>0.8831284496895716</v>
      </c>
      <c r="K35" s="26">
        <f t="shared" si="2"/>
        <v>0.60537920279145729</v>
      </c>
      <c r="L35" s="26">
        <f t="shared" si="2"/>
        <v>0.53008650950296921</v>
      </c>
      <c r="M35" s="26"/>
      <c r="N35" s="26">
        <f t="shared" si="2"/>
        <v>0.55300233415247924</v>
      </c>
      <c r="O35" s="26"/>
      <c r="P35" s="26"/>
      <c r="Q35" s="26"/>
    </row>
    <row r="36" spans="2:17" hidden="1" x14ac:dyDescent="0.25">
      <c r="B36" t="s">
        <v>3</v>
      </c>
      <c r="C36" t="s">
        <v>15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2:17" hidden="1" x14ac:dyDescent="0.25">
      <c r="B37" t="s">
        <v>31</v>
      </c>
      <c r="C37" t="s">
        <v>15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2:17" hidden="1" x14ac:dyDescent="0.25"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 spans="2:17" hidden="1" x14ac:dyDescent="0.25">
      <c r="B39" t="s">
        <v>33</v>
      </c>
      <c r="C39" t="s">
        <v>28</v>
      </c>
      <c r="D39" s="26">
        <f>D17/D$22</f>
        <v>0.41430461760596465</v>
      </c>
      <c r="E39" s="26">
        <f t="shared" ref="E39:Q39" si="3">E17/E$22</f>
        <v>1.6308966661803471E-2</v>
      </c>
      <c r="F39" s="26">
        <f t="shared" si="3"/>
        <v>0.45466638262693371</v>
      </c>
      <c r="G39" s="26">
        <f t="shared" si="3"/>
        <v>1.8504642603017413E-4</v>
      </c>
      <c r="H39" s="26">
        <f t="shared" si="3"/>
        <v>8.7387601315647297E-4</v>
      </c>
      <c r="I39" s="26">
        <f t="shared" si="3"/>
        <v>5.5248082641796243E-3</v>
      </c>
      <c r="J39" s="26">
        <f t="shared" si="3"/>
        <v>0.14036552651024536</v>
      </c>
      <c r="K39" s="26">
        <f t="shared" si="3"/>
        <v>0.26456428352869638</v>
      </c>
      <c r="L39" s="26">
        <f t="shared" si="3"/>
        <v>0.44001578589486778</v>
      </c>
      <c r="M39" s="26"/>
      <c r="N39" s="26"/>
      <c r="O39" s="26"/>
      <c r="P39" s="26">
        <f t="shared" si="3"/>
        <v>0.30183808145098767</v>
      </c>
      <c r="Q39" s="26">
        <f t="shared" si="3"/>
        <v>0.12637341652421918</v>
      </c>
    </row>
    <row r="40" spans="2:17" hidden="1" x14ac:dyDescent="0.25">
      <c r="C40" t="s">
        <v>29</v>
      </c>
      <c r="D40" s="26">
        <f t="shared" ref="D40:Q41" si="4">D18/D$22</f>
        <v>0.29668692332351809</v>
      </c>
      <c r="E40" s="26">
        <f t="shared" si="4"/>
        <v>0.11728896525912298</v>
      </c>
      <c r="F40" s="26">
        <f t="shared" si="4"/>
        <v>0.22456051942174038</v>
      </c>
      <c r="G40" s="26">
        <f t="shared" si="4"/>
        <v>3.1383095686580029E-2</v>
      </c>
      <c r="H40" s="26">
        <f t="shared" si="4"/>
        <v>9.3005805226099234E-2</v>
      </c>
      <c r="I40" s="26">
        <f t="shared" si="4"/>
        <v>0.11159980443959473</v>
      </c>
      <c r="J40" s="26">
        <f t="shared" si="4"/>
        <v>0.13540609345676607</v>
      </c>
      <c r="K40" s="26">
        <f t="shared" si="4"/>
        <v>0.17776114258602224</v>
      </c>
      <c r="L40" s="26">
        <f t="shared" si="4"/>
        <v>0.25954824302151991</v>
      </c>
      <c r="M40" s="26"/>
      <c r="N40" s="26"/>
      <c r="O40" s="26"/>
      <c r="P40" s="26">
        <f t="shared" si="4"/>
        <v>0.17761190955856976</v>
      </c>
      <c r="Q40" s="26">
        <f t="shared" si="4"/>
        <v>-2.8722887605344194E-2</v>
      </c>
    </row>
    <row r="41" spans="2:17" hidden="1" x14ac:dyDescent="0.25">
      <c r="C41" t="s">
        <v>30</v>
      </c>
      <c r="D41" s="26">
        <f t="shared" si="4"/>
        <v>0.2890084590705172</v>
      </c>
      <c r="E41" s="26">
        <f t="shared" si="4"/>
        <v>0.8664020680790735</v>
      </c>
      <c r="F41" s="26">
        <f t="shared" si="4"/>
        <v>0.32077309795132608</v>
      </c>
      <c r="G41" s="26">
        <f t="shared" si="4"/>
        <v>0.96843185788738984</v>
      </c>
      <c r="H41" s="26">
        <f t="shared" si="4"/>
        <v>0.90612031876074428</v>
      </c>
      <c r="I41" s="26">
        <f t="shared" si="4"/>
        <v>0.88287538729622572</v>
      </c>
      <c r="J41" s="26">
        <f t="shared" si="4"/>
        <v>0.72197759126322114</v>
      </c>
      <c r="K41" s="26">
        <f t="shared" si="4"/>
        <v>0.55711486188213366</v>
      </c>
      <c r="L41" s="26">
        <f t="shared" si="4"/>
        <v>0.27587614094801588</v>
      </c>
      <c r="M41" s="26"/>
      <c r="N41" s="26"/>
      <c r="O41" s="26"/>
      <c r="P41" s="26">
        <f t="shared" si="4"/>
        <v>0.53258333553275494</v>
      </c>
      <c r="Q41" s="26">
        <f t="shared" si="4"/>
        <v>0.90234947108112507</v>
      </c>
    </row>
  </sheetData>
  <hyperlinks>
    <hyperlink ref="K1" location="Contenido!A1" display="Contenido" xr:uid="{8828D2DC-33F4-48D1-8CEA-3F74B7529A74}"/>
  </hyperlinks>
  <pageMargins left="0.7" right="0.7" top="0.75" bottom="0.75" header="0.3" footer="0.3"/>
  <pageSetup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1714-7D28-4CB3-938D-DBB6D1221A44}">
  <sheetPr>
    <pageSetUpPr fitToPage="1"/>
  </sheetPr>
  <dimension ref="A1:R41"/>
  <sheetViews>
    <sheetView topLeftCell="A7" workbookViewId="0">
      <selection activeCell="O51" sqref="O51"/>
    </sheetView>
  </sheetViews>
  <sheetFormatPr defaultRowHeight="15" x14ac:dyDescent="0.25"/>
  <cols>
    <col min="1" max="1" width="16.5703125" bestFit="1" customWidth="1"/>
    <col min="2" max="2" width="25.140625" customWidth="1"/>
    <col min="3" max="3" width="21.85546875" customWidth="1"/>
    <col min="4" max="18" width="13.7109375" customWidth="1"/>
  </cols>
  <sheetData>
    <row r="1" spans="1:18" x14ac:dyDescent="0.25">
      <c r="A1" s="22" t="s">
        <v>79</v>
      </c>
      <c r="K1" s="28" t="s">
        <v>122</v>
      </c>
    </row>
    <row r="2" spans="1:18" x14ac:dyDescent="0.25">
      <c r="A2" s="22" t="s">
        <v>118</v>
      </c>
    </row>
    <row r="3" spans="1:18" x14ac:dyDescent="0.25">
      <c r="A3" s="22" t="s">
        <v>80</v>
      </c>
    </row>
    <row r="4" spans="1:18" x14ac:dyDescent="0.25">
      <c r="A4" s="22" t="s">
        <v>41</v>
      </c>
    </row>
    <row r="5" spans="1:18" x14ac:dyDescent="0.25">
      <c r="A5" s="22" t="s">
        <v>81</v>
      </c>
    </row>
    <row r="6" spans="1:18" x14ac:dyDescent="0.25">
      <c r="A6" s="27" t="s">
        <v>103</v>
      </c>
    </row>
    <row r="8" spans="1:18" s="12" customFormat="1" ht="64.5" x14ac:dyDescent="0.25">
      <c r="A8" s="15"/>
      <c r="B8" s="15"/>
      <c r="C8" s="15"/>
      <c r="D8" s="15" t="s">
        <v>1</v>
      </c>
      <c r="E8" s="15"/>
      <c r="F8" s="15"/>
      <c r="G8" s="15"/>
      <c r="H8" s="15"/>
      <c r="I8" s="15"/>
      <c r="J8" s="15"/>
      <c r="K8" s="15"/>
      <c r="L8" s="15" t="s">
        <v>2</v>
      </c>
      <c r="M8" s="15" t="s">
        <v>3</v>
      </c>
      <c r="N8" s="15" t="s">
        <v>4</v>
      </c>
      <c r="O8" s="15" t="s">
        <v>5</v>
      </c>
      <c r="P8" s="15" t="s">
        <v>6</v>
      </c>
      <c r="Q8" s="15" t="s">
        <v>7</v>
      </c>
      <c r="R8" s="15"/>
    </row>
    <row r="9" spans="1:18" x14ac:dyDescent="0.25">
      <c r="A9" s="14"/>
      <c r="B9" s="14"/>
      <c r="C9" s="14"/>
      <c r="D9" s="14" t="s">
        <v>8</v>
      </c>
      <c r="E9" s="14" t="s">
        <v>9</v>
      </c>
      <c r="F9" s="14" t="s">
        <v>10</v>
      </c>
      <c r="G9" s="14" t="s">
        <v>11</v>
      </c>
      <c r="H9" s="14" t="s">
        <v>12</v>
      </c>
      <c r="I9" s="14" t="s">
        <v>13</v>
      </c>
      <c r="J9" s="14" t="s">
        <v>14</v>
      </c>
      <c r="K9" s="14"/>
      <c r="L9" s="14" t="s">
        <v>15</v>
      </c>
      <c r="M9" s="14" t="s">
        <v>15</v>
      </c>
      <c r="N9" s="14" t="s">
        <v>15</v>
      </c>
      <c r="O9" s="14" t="s">
        <v>15</v>
      </c>
      <c r="P9" s="14" t="s">
        <v>15</v>
      </c>
      <c r="Q9" s="14" t="s">
        <v>15</v>
      </c>
      <c r="R9" s="15"/>
    </row>
    <row r="10" spans="1:18" s="12" customFormat="1" ht="51.75" x14ac:dyDescent="0.25">
      <c r="A10" s="16" t="s">
        <v>16</v>
      </c>
      <c r="B10" s="16" t="s">
        <v>17</v>
      </c>
      <c r="C10" s="16" t="s">
        <v>18</v>
      </c>
      <c r="D10" s="16" t="s">
        <v>19</v>
      </c>
      <c r="E10" s="16" t="s">
        <v>20</v>
      </c>
      <c r="F10" s="16" t="s">
        <v>21</v>
      </c>
      <c r="G10" s="16" t="s">
        <v>22</v>
      </c>
      <c r="H10" s="16" t="s">
        <v>23</v>
      </c>
      <c r="I10" s="16" t="s">
        <v>24</v>
      </c>
      <c r="J10" s="16" t="s">
        <v>25</v>
      </c>
      <c r="K10" s="16" t="s">
        <v>87</v>
      </c>
      <c r="L10" s="16" t="s">
        <v>15</v>
      </c>
      <c r="M10" s="16" t="s">
        <v>15</v>
      </c>
      <c r="N10" s="16" t="s">
        <v>15</v>
      </c>
      <c r="O10" s="16" t="s">
        <v>15</v>
      </c>
      <c r="P10" s="16" t="s">
        <v>15</v>
      </c>
      <c r="Q10" s="16" t="s">
        <v>15</v>
      </c>
      <c r="R10" s="16"/>
    </row>
    <row r="11" spans="1:18" x14ac:dyDescent="0.25">
      <c r="A11" s="17" t="s">
        <v>26</v>
      </c>
      <c r="B11" s="17" t="s">
        <v>27</v>
      </c>
      <c r="C11" s="18" t="s">
        <v>28</v>
      </c>
      <c r="D11" s="19">
        <v>2496.2367966209549</v>
      </c>
      <c r="E11" s="19">
        <v>0</v>
      </c>
      <c r="F11" s="19">
        <v>4520.2974928298354</v>
      </c>
      <c r="G11" s="19">
        <v>0</v>
      </c>
      <c r="H11" s="19">
        <v>0</v>
      </c>
      <c r="I11" s="19">
        <v>1.1195473419679283</v>
      </c>
      <c r="J11" s="19">
        <v>2.9423703298382859</v>
      </c>
      <c r="K11" s="19">
        <f>SUM(D11:J11)</f>
        <v>7020.5962071225958</v>
      </c>
      <c r="L11" s="19">
        <v>2306.2334018379297</v>
      </c>
      <c r="M11" s="19">
        <v>0</v>
      </c>
      <c r="N11" s="19">
        <v>320.03281873728935</v>
      </c>
      <c r="O11" s="19">
        <v>3161.4648158769019</v>
      </c>
      <c r="P11" s="19"/>
      <c r="Q11" s="19"/>
      <c r="R11" s="19">
        <v>12808.327243574717</v>
      </c>
    </row>
    <row r="12" spans="1:18" x14ac:dyDescent="0.25">
      <c r="A12" s="17"/>
      <c r="B12" s="17"/>
      <c r="C12" s="18" t="s">
        <v>29</v>
      </c>
      <c r="D12" s="19">
        <v>57.512803253884613</v>
      </c>
      <c r="E12" s="19">
        <v>0</v>
      </c>
      <c r="F12" s="19">
        <v>1257.4333104743137</v>
      </c>
      <c r="G12" s="19">
        <v>0.85951</v>
      </c>
      <c r="H12" s="19">
        <v>0</v>
      </c>
      <c r="I12" s="19">
        <v>34.846010109819183</v>
      </c>
      <c r="J12" s="19">
        <v>4693.0197418652187</v>
      </c>
      <c r="K12" s="19">
        <f t="shared" ref="K12" si="0">SUM(D12:J12)</f>
        <v>6043.6713757032358</v>
      </c>
      <c r="L12" s="19">
        <v>8458.9981584563666</v>
      </c>
      <c r="M12" s="19">
        <v>0</v>
      </c>
      <c r="N12" s="19">
        <v>538.38650640624746</v>
      </c>
      <c r="O12" s="19">
        <v>5758.7481783755311</v>
      </c>
      <c r="P12" s="19"/>
      <c r="Q12" s="19"/>
      <c r="R12" s="19">
        <v>20799.804218941383</v>
      </c>
    </row>
    <row r="13" spans="1:18" x14ac:dyDescent="0.25">
      <c r="A13" s="17"/>
      <c r="B13" s="17"/>
      <c r="C13" s="18" t="s">
        <v>30</v>
      </c>
      <c r="D13" s="19">
        <v>2.67125250657688</v>
      </c>
      <c r="E13" s="19">
        <v>1580.2658524101703</v>
      </c>
      <c r="F13" s="19">
        <v>3356.8701080427149</v>
      </c>
      <c r="G13" s="19">
        <v>1783.4897154332805</v>
      </c>
      <c r="H13" s="19">
        <v>21011.089332561362</v>
      </c>
      <c r="I13" s="19">
        <v>15700.89917252809</v>
      </c>
      <c r="J13" s="19">
        <v>38000.728399933454</v>
      </c>
      <c r="K13" s="19">
        <f>SUM(D13:J13)</f>
        <v>81436.013833415636</v>
      </c>
      <c r="L13" s="19">
        <v>17939.649541926603</v>
      </c>
      <c r="M13" s="19">
        <v>-1318.5612140000001</v>
      </c>
      <c r="N13" s="19">
        <v>1436.7481564864636</v>
      </c>
      <c r="O13" s="19">
        <v>-8920.2129942524698</v>
      </c>
      <c r="P13" s="19"/>
      <c r="Q13" s="19"/>
      <c r="R13" s="19">
        <v>90573.637323576258</v>
      </c>
    </row>
    <row r="14" spans="1:18" x14ac:dyDescent="0.25">
      <c r="A14" s="17"/>
      <c r="B14" s="17" t="s">
        <v>3</v>
      </c>
      <c r="C14" s="18" t="s">
        <v>15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f t="shared" ref="K14:K23" si="1">SUM(D14:J14)</f>
        <v>0</v>
      </c>
      <c r="L14" s="19">
        <v>-1318.5612140000001</v>
      </c>
      <c r="M14" s="19">
        <v>1318.5612140000001</v>
      </c>
      <c r="N14" s="19">
        <v>0</v>
      </c>
      <c r="O14" s="19">
        <v>0</v>
      </c>
      <c r="P14" s="19"/>
      <c r="Q14" s="19"/>
      <c r="R14" s="19">
        <v>0</v>
      </c>
    </row>
    <row r="15" spans="1:18" x14ac:dyDescent="0.25">
      <c r="A15" s="17"/>
      <c r="B15" s="17" t="s">
        <v>31</v>
      </c>
      <c r="C15" s="18" t="s">
        <v>15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f t="shared" si="1"/>
        <v>0</v>
      </c>
      <c r="L15" s="19">
        <v>1163.0753999999999</v>
      </c>
      <c r="M15" s="19">
        <v>0</v>
      </c>
      <c r="N15" s="19">
        <v>0</v>
      </c>
      <c r="O15" s="19">
        <v>0</v>
      </c>
      <c r="P15" s="19"/>
      <c r="Q15" s="19"/>
      <c r="R15" s="19">
        <v>1163.0753999999999</v>
      </c>
    </row>
    <row r="16" spans="1:18" x14ac:dyDescent="0.25">
      <c r="A16" s="20" t="s">
        <v>68</v>
      </c>
      <c r="B16" s="20"/>
      <c r="C16" s="20"/>
      <c r="D16" s="21">
        <f>SUM(D11:D15)</f>
        <v>2556.4208523814164</v>
      </c>
      <c r="E16" s="21">
        <f t="shared" ref="E16:K16" si="2">SUM(E11:E15)</f>
        <v>1580.2658524101703</v>
      </c>
      <c r="F16" s="21">
        <f t="shared" si="2"/>
        <v>9134.6009113468645</v>
      </c>
      <c r="G16" s="21">
        <f t="shared" si="2"/>
        <v>1784.3492254332805</v>
      </c>
      <c r="H16" s="21">
        <f t="shared" si="2"/>
        <v>21011.089332561362</v>
      </c>
      <c r="I16" s="21">
        <f t="shared" si="2"/>
        <v>15736.864729979878</v>
      </c>
      <c r="J16" s="21">
        <f t="shared" si="2"/>
        <v>42696.690512128509</v>
      </c>
      <c r="K16" s="21">
        <f t="shared" si="2"/>
        <v>94500.281416241472</v>
      </c>
      <c r="L16" s="21">
        <f>SUM(L11:L13)</f>
        <v>28704.881102220897</v>
      </c>
      <c r="M16" s="21">
        <f t="shared" ref="M16" si="3">SUM(M11:M15)</f>
        <v>0</v>
      </c>
      <c r="N16" s="21">
        <f t="shared" ref="N16" si="4">SUM(N11:N15)</f>
        <v>2295.1674816300001</v>
      </c>
      <c r="O16" s="21">
        <f t="shared" ref="O16" si="5">SUM(O11:O15)</f>
        <v>-3.637978807091713E-11</v>
      </c>
      <c r="P16" s="21">
        <f t="shared" ref="P16" si="6">SUM(P11:P15)</f>
        <v>0</v>
      </c>
      <c r="Q16" s="21">
        <f t="shared" ref="Q16" si="7">SUM(Q11:Q15)</f>
        <v>0</v>
      </c>
      <c r="R16" s="21">
        <f t="shared" ref="R16" si="8">SUM(R11:R15)</f>
        <v>125344.84418609236</v>
      </c>
    </row>
    <row r="17" spans="1:18" x14ac:dyDescent="0.25">
      <c r="A17" s="17" t="s">
        <v>32</v>
      </c>
      <c r="B17" s="17" t="s">
        <v>33</v>
      </c>
      <c r="C17" s="18" t="s">
        <v>28</v>
      </c>
      <c r="D17" s="19">
        <v>489.99948977577139</v>
      </c>
      <c r="E17" s="19">
        <v>0</v>
      </c>
      <c r="F17" s="19">
        <v>2512.9464879259604</v>
      </c>
      <c r="G17" s="19">
        <v>4.1426953480118399E-2</v>
      </c>
      <c r="H17" s="19">
        <v>0.88550690479907501</v>
      </c>
      <c r="I17" s="19">
        <v>31.325037671431566</v>
      </c>
      <c r="J17" s="19">
        <v>1111.9968316237337</v>
      </c>
      <c r="K17" s="19">
        <f t="shared" si="1"/>
        <v>4147.1947808551758</v>
      </c>
      <c r="L17" s="19">
        <v>1041.3825572437104</v>
      </c>
      <c r="M17" s="19"/>
      <c r="N17" s="19"/>
      <c r="O17" s="19"/>
      <c r="P17" s="19">
        <v>7342.5346232678748</v>
      </c>
      <c r="Q17" s="19">
        <v>277.2152821458393</v>
      </c>
      <c r="R17" s="19">
        <v>12808.327243512602</v>
      </c>
    </row>
    <row r="18" spans="1:18" x14ac:dyDescent="0.25">
      <c r="A18" s="17"/>
      <c r="B18" s="17"/>
      <c r="C18" s="18" t="s">
        <v>29</v>
      </c>
      <c r="D18" s="19">
        <v>271.29011479500241</v>
      </c>
      <c r="E18" s="19">
        <v>41.443848508463958</v>
      </c>
      <c r="F18" s="19">
        <v>598.69296572386202</v>
      </c>
      <c r="G18" s="19">
        <v>85.846664993105279</v>
      </c>
      <c r="H18" s="19">
        <v>880.81067320247575</v>
      </c>
      <c r="I18" s="19">
        <v>337.19219294697882</v>
      </c>
      <c r="J18" s="19">
        <v>1463.5207125207658</v>
      </c>
      <c r="K18" s="19">
        <f t="shared" ref="K18:K19" si="9">SUM(D18:J18)</f>
        <v>3678.797172690654</v>
      </c>
      <c r="L18" s="19">
        <v>7136.7271355524717</v>
      </c>
      <c r="M18" s="19"/>
      <c r="N18" s="19"/>
      <c r="O18" s="19"/>
      <c r="P18" s="19">
        <v>9277.5224073320969</v>
      </c>
      <c r="Q18" s="19">
        <v>706.7575032960641</v>
      </c>
      <c r="R18" s="19">
        <v>20799.804218871286</v>
      </c>
    </row>
    <row r="19" spans="1:18" x14ac:dyDescent="0.25">
      <c r="A19" s="17"/>
      <c r="B19" s="17"/>
      <c r="C19" s="18" t="s">
        <v>30</v>
      </c>
      <c r="D19" s="19">
        <v>311.75418368678089</v>
      </c>
      <c r="E19" s="19">
        <v>319.06630916462586</v>
      </c>
      <c r="F19" s="19">
        <v>2254.3467112757507</v>
      </c>
      <c r="G19" s="19">
        <v>624.56120771821622</v>
      </c>
      <c r="H19" s="19">
        <v>7932.2618016697343</v>
      </c>
      <c r="I19" s="19">
        <v>4565.8999844939244</v>
      </c>
      <c r="J19" s="19">
        <v>10705.740450244764</v>
      </c>
      <c r="K19" s="19">
        <f t="shared" si="9"/>
        <v>26713.630648253798</v>
      </c>
      <c r="L19" s="19">
        <v>14074.635605892672</v>
      </c>
      <c r="M19" s="19"/>
      <c r="N19" s="19"/>
      <c r="O19" s="19"/>
      <c r="P19" s="19">
        <v>24811.496652342968</v>
      </c>
      <c r="Q19" s="19">
        <v>24973.874416961087</v>
      </c>
      <c r="R19" s="19">
        <v>90573.63732345053</v>
      </c>
    </row>
    <row r="20" spans="1:18" x14ac:dyDescent="0.25">
      <c r="A20" s="17"/>
      <c r="B20" s="17" t="s">
        <v>3</v>
      </c>
      <c r="C20" s="18" t="s">
        <v>15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f t="shared" si="1"/>
        <v>0</v>
      </c>
      <c r="L20" s="19">
        <v>0</v>
      </c>
      <c r="M20" s="19"/>
      <c r="N20" s="19"/>
      <c r="O20" s="19"/>
      <c r="P20" s="19">
        <v>0</v>
      </c>
      <c r="Q20" s="19">
        <v>0</v>
      </c>
      <c r="R20" s="19">
        <v>0</v>
      </c>
    </row>
    <row r="21" spans="1:18" x14ac:dyDescent="0.25">
      <c r="A21" s="17"/>
      <c r="B21" s="17" t="s">
        <v>34</v>
      </c>
      <c r="C21" s="18" t="s">
        <v>15</v>
      </c>
      <c r="D21" s="19">
        <v>0</v>
      </c>
      <c r="E21" s="19">
        <v>0</v>
      </c>
      <c r="F21" s="19">
        <v>0</v>
      </c>
      <c r="G21" s="19">
        <v>0.35552359983803999</v>
      </c>
      <c r="H21" s="19">
        <v>0</v>
      </c>
      <c r="I21" s="19">
        <v>0</v>
      </c>
      <c r="J21" s="19">
        <v>36.42260863994418</v>
      </c>
      <c r="K21" s="19">
        <f t="shared" si="1"/>
        <v>36.778132239782217</v>
      </c>
      <c r="L21" s="19">
        <v>3742.5</v>
      </c>
      <c r="M21" s="19"/>
      <c r="N21" s="19"/>
      <c r="O21" s="19"/>
      <c r="P21" s="19">
        <v>-2616.2027322397798</v>
      </c>
      <c r="Q21" s="19">
        <v>0</v>
      </c>
      <c r="R21" s="19">
        <v>1163.0754000000024</v>
      </c>
    </row>
    <row r="22" spans="1:18" x14ac:dyDescent="0.25">
      <c r="A22" s="20" t="s">
        <v>70</v>
      </c>
      <c r="B22" s="20"/>
      <c r="C22" s="20"/>
      <c r="D22" s="21">
        <v>1073.0437882575548</v>
      </c>
      <c r="E22" s="21">
        <v>360.51015767308979</v>
      </c>
      <c r="F22" s="21">
        <v>5365.9861649255763</v>
      </c>
      <c r="G22" s="21">
        <v>710.80482326463982</v>
      </c>
      <c r="H22" s="21">
        <v>8813.95798177701</v>
      </c>
      <c r="I22" s="21">
        <v>4934.4172151123339</v>
      </c>
      <c r="J22" s="21">
        <v>13317.680603029192</v>
      </c>
      <c r="K22" s="21">
        <f t="shared" si="1"/>
        <v>34576.400734039402</v>
      </c>
      <c r="L22" s="21">
        <v>25995.245298688857</v>
      </c>
      <c r="M22" s="21"/>
      <c r="N22" s="21"/>
      <c r="O22" s="21"/>
      <c r="P22" s="21">
        <v>38815.350950703156</v>
      </c>
      <c r="Q22" s="21">
        <v>25957.847202402991</v>
      </c>
      <c r="R22" s="21">
        <v>125344.8441858344</v>
      </c>
    </row>
    <row r="23" spans="1:18" x14ac:dyDescent="0.25">
      <c r="A23" s="5" t="s">
        <v>35</v>
      </c>
      <c r="B23" s="20"/>
      <c r="C23" s="20"/>
      <c r="D23" s="21">
        <v>1483.3770641238634</v>
      </c>
      <c r="E23" s="21">
        <v>1219.7556947370899</v>
      </c>
      <c r="F23" s="21">
        <v>3768.6147464212854</v>
      </c>
      <c r="G23" s="21">
        <v>1073.544402168638</v>
      </c>
      <c r="H23" s="21">
        <v>12197.13135078433</v>
      </c>
      <c r="I23" s="21">
        <v>10802.447514867541</v>
      </c>
      <c r="J23" s="21">
        <v>29379.009909099317</v>
      </c>
      <c r="K23" s="21">
        <f t="shared" si="1"/>
        <v>59923.880682202063</v>
      </c>
      <c r="L23" s="21"/>
      <c r="M23" s="21"/>
      <c r="N23" s="21"/>
      <c r="O23" s="21"/>
      <c r="P23" s="21"/>
      <c r="Q23" s="21"/>
      <c r="R23" s="21">
        <v>59923.880682202063</v>
      </c>
    </row>
    <row r="26" spans="1:18" hidden="1" x14ac:dyDescent="0.25">
      <c r="D26" s="19">
        <v>2.6712525065768795</v>
      </c>
      <c r="E26" s="19">
        <v>1580.2658524101705</v>
      </c>
      <c r="F26" s="19">
        <v>3356.8701080427149</v>
      </c>
      <c r="G26" s="19">
        <v>1783.4897154332805</v>
      </c>
      <c r="H26" s="19">
        <v>21011.089332561362</v>
      </c>
      <c r="I26" s="19">
        <v>15700.899172528088</v>
      </c>
      <c r="J26" s="19">
        <v>4693.0197418652187</v>
      </c>
      <c r="K26" s="19">
        <f>SUM(D26:J26)</f>
        <v>48128.305175347406</v>
      </c>
      <c r="L26" s="19">
        <v>17939.649541926603</v>
      </c>
      <c r="M26" s="19">
        <v>-1318.5612140000001</v>
      </c>
      <c r="N26" s="19">
        <v>1436.7481564864636</v>
      </c>
      <c r="O26" s="19">
        <v>-8920.2129942524698</v>
      </c>
      <c r="P26" s="19"/>
      <c r="Q26" s="19"/>
      <c r="R26" s="19">
        <v>90573.637323576229</v>
      </c>
    </row>
    <row r="27" spans="1:18" hidden="1" x14ac:dyDescent="0.25"/>
    <row r="28" spans="1:18" hidden="1" x14ac:dyDescent="0.25"/>
    <row r="29" spans="1:18" hidden="1" x14ac:dyDescent="0.25">
      <c r="D29" s="19">
        <v>311.75418368678089</v>
      </c>
      <c r="E29" s="19">
        <v>319.06630916462586</v>
      </c>
      <c r="F29" s="19">
        <v>2254.3467112757535</v>
      </c>
      <c r="G29" s="19">
        <v>624.56120771821634</v>
      </c>
      <c r="H29" s="19">
        <v>7932.2618016697343</v>
      </c>
      <c r="I29" s="19">
        <v>4565.8999844939235</v>
      </c>
      <c r="J29" s="19">
        <v>10705.740450244748</v>
      </c>
      <c r="K29" s="19">
        <f t="shared" ref="K29" si="10">SUM(D29:J29)</f>
        <v>26713.630648253784</v>
      </c>
      <c r="L29" s="19">
        <v>14074.635605892674</v>
      </c>
      <c r="M29" s="19"/>
      <c r="N29" s="19"/>
      <c r="O29" s="19"/>
      <c r="P29" s="19">
        <v>24811.496652342965</v>
      </c>
      <c r="Q29" s="19">
        <v>24973.874416961087</v>
      </c>
      <c r="R29" s="19">
        <v>90573.637323450515</v>
      </c>
    </row>
    <row r="30" spans="1:18" hidden="1" x14ac:dyDescent="0.25"/>
    <row r="31" spans="1:18" hidden="1" x14ac:dyDescent="0.25"/>
    <row r="32" spans="1:18" hidden="1" x14ac:dyDescent="0.25"/>
    <row r="33" spans="2:17" hidden="1" x14ac:dyDescent="0.25">
      <c r="B33" t="s">
        <v>27</v>
      </c>
      <c r="C33" t="s">
        <v>28</v>
      </c>
      <c r="D33" s="13">
        <f t="shared" ref="D33:L33" si="11">D11/D$16</f>
        <v>0.976457688606163</v>
      </c>
      <c r="E33" s="13">
        <f t="shared" si="11"/>
        <v>0</v>
      </c>
      <c r="F33" s="13">
        <f t="shared" si="11"/>
        <v>0.49485440433580297</v>
      </c>
      <c r="G33" s="13">
        <f t="shared" si="11"/>
        <v>0</v>
      </c>
      <c r="H33" s="13">
        <f t="shared" si="11"/>
        <v>0</v>
      </c>
      <c r="I33" s="13">
        <f t="shared" si="11"/>
        <v>7.1141702059312285E-5</v>
      </c>
      <c r="J33" s="13">
        <f t="shared" si="11"/>
        <v>6.8913311419358612E-5</v>
      </c>
      <c r="K33" s="13">
        <f t="shared" si="11"/>
        <v>7.4291802118548911E-2</v>
      </c>
      <c r="L33" s="13">
        <f t="shared" si="11"/>
        <v>8.0342900345944865E-2</v>
      </c>
      <c r="M33" s="13"/>
      <c r="N33" s="13">
        <f>N11/N$16</f>
        <v>0.13943767559394224</v>
      </c>
      <c r="O33" s="13"/>
      <c r="P33" s="13"/>
      <c r="Q33" s="13"/>
    </row>
    <row r="34" spans="2:17" hidden="1" x14ac:dyDescent="0.25">
      <c r="C34" t="s">
        <v>30</v>
      </c>
      <c r="D34" s="13">
        <f t="shared" ref="D34:L34" si="12">D12/D$16</f>
        <v>2.2497392477576199E-2</v>
      </c>
      <c r="E34" s="13">
        <f t="shared" si="12"/>
        <v>0</v>
      </c>
      <c r="F34" s="13">
        <f t="shared" si="12"/>
        <v>0.13765607525473267</v>
      </c>
      <c r="G34" s="13">
        <f t="shared" si="12"/>
        <v>4.8169382301902896E-4</v>
      </c>
      <c r="H34" s="13">
        <f t="shared" si="12"/>
        <v>0</v>
      </c>
      <c r="I34" s="13">
        <f t="shared" si="12"/>
        <v>2.2142917733438345E-3</v>
      </c>
      <c r="J34" s="13">
        <f t="shared" si="12"/>
        <v>0.10991530457219184</v>
      </c>
      <c r="K34" s="13">
        <f t="shared" si="12"/>
        <v>6.3954004000082568E-2</v>
      </c>
      <c r="L34" s="13">
        <f t="shared" si="12"/>
        <v>0.29468849316369033</v>
      </c>
      <c r="M34" s="13"/>
      <c r="N34" s="13">
        <f>N12/N$16</f>
        <v>0.23457395188602614</v>
      </c>
      <c r="O34" s="13"/>
      <c r="P34" s="13"/>
      <c r="Q34" s="13"/>
    </row>
    <row r="35" spans="2:17" hidden="1" x14ac:dyDescent="0.25">
      <c r="C35" t="s">
        <v>29</v>
      </c>
      <c r="D35" s="13">
        <f t="shared" ref="D35:L35" si="13">D13/D$16</f>
        <v>1.044918916260792E-3</v>
      </c>
      <c r="E35" s="13">
        <f t="shared" si="13"/>
        <v>1</v>
      </c>
      <c r="F35" s="13">
        <f t="shared" si="13"/>
        <v>0.36748952040946431</v>
      </c>
      <c r="G35" s="13">
        <f t="shared" si="13"/>
        <v>0.99951830617698101</v>
      </c>
      <c r="H35" s="13">
        <f t="shared" si="13"/>
        <v>1</v>
      </c>
      <c r="I35" s="13">
        <f t="shared" si="13"/>
        <v>0.99771456652459689</v>
      </c>
      <c r="J35" s="13">
        <f t="shared" si="13"/>
        <v>0.89001578211638888</v>
      </c>
      <c r="K35" s="13">
        <f t="shared" si="13"/>
        <v>0.86175419388136842</v>
      </c>
      <c r="L35" s="13">
        <f t="shared" si="13"/>
        <v>0.6249686064903649</v>
      </c>
      <c r="M35" s="13"/>
      <c r="N35" s="13">
        <f>N13/N$16</f>
        <v>0.6259883725200317</v>
      </c>
      <c r="O35" s="13"/>
      <c r="P35" s="13"/>
      <c r="Q35" s="13"/>
    </row>
    <row r="36" spans="2:17" hidden="1" x14ac:dyDescent="0.25">
      <c r="B36" t="s">
        <v>3</v>
      </c>
      <c r="C36" t="s">
        <v>15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2:17" hidden="1" x14ac:dyDescent="0.25">
      <c r="B37" t="s">
        <v>31</v>
      </c>
      <c r="C37" t="s">
        <v>15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2:17" hidden="1" x14ac:dyDescent="0.25"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2:17" hidden="1" x14ac:dyDescent="0.25">
      <c r="B39" t="s">
        <v>33</v>
      </c>
      <c r="C39" t="s">
        <v>28</v>
      </c>
      <c r="D39" s="13">
        <f>D17/D$22</f>
        <v>0.45664444931128984</v>
      </c>
      <c r="E39" s="13">
        <f t="shared" ref="E39:Q39" si="14">E17/E$22</f>
        <v>0</v>
      </c>
      <c r="F39" s="13">
        <f t="shared" si="14"/>
        <v>0.46831028084859289</v>
      </c>
      <c r="G39" s="13">
        <f t="shared" si="14"/>
        <v>5.8281756291198836E-5</v>
      </c>
      <c r="H39" s="13">
        <f t="shared" si="14"/>
        <v>1.0046643138416065E-4</v>
      </c>
      <c r="I39" s="13">
        <f t="shared" si="14"/>
        <v>6.3482750456313897E-3</v>
      </c>
      <c r="J39" s="13">
        <f t="shared" si="14"/>
        <v>8.3497784994994009E-2</v>
      </c>
      <c r="K39" s="13">
        <f t="shared" si="14"/>
        <v>0.11994292907336622</v>
      </c>
      <c r="L39" s="13">
        <f t="shared" si="14"/>
        <v>4.0060501267754352E-2</v>
      </c>
      <c r="M39" s="13"/>
      <c r="N39" s="13"/>
      <c r="O39" s="13"/>
      <c r="P39" s="13">
        <f t="shared" si="14"/>
        <v>0.18916574096143426</v>
      </c>
      <c r="Q39" s="13">
        <f t="shared" si="14"/>
        <v>1.0679440401366438E-2</v>
      </c>
    </row>
    <row r="40" spans="2:17" hidden="1" x14ac:dyDescent="0.25">
      <c r="C40" t="s">
        <v>30</v>
      </c>
      <c r="D40" s="13">
        <f t="shared" ref="D40:Q41" si="15">D18/D$22</f>
        <v>0.25282296749094701</v>
      </c>
      <c r="E40" s="13">
        <f t="shared" si="15"/>
        <v>0.11495889263138376</v>
      </c>
      <c r="F40" s="13">
        <f t="shared" si="15"/>
        <v>0.11157184296097894</v>
      </c>
      <c r="G40" s="13">
        <f t="shared" si="15"/>
        <v>0.12077389204932801</v>
      </c>
      <c r="H40" s="13">
        <f t="shared" si="15"/>
        <v>9.99336138229346E-2</v>
      </c>
      <c r="I40" s="13">
        <f t="shared" si="15"/>
        <v>6.8334755300845096E-2</v>
      </c>
      <c r="J40" s="13">
        <f t="shared" si="15"/>
        <v>0.10989306292477675</v>
      </c>
      <c r="K40" s="13">
        <f t="shared" si="15"/>
        <v>0.10639618625975118</v>
      </c>
      <c r="L40" s="13">
        <f t="shared" si="15"/>
        <v>0.27453971114911668</v>
      </c>
      <c r="M40" s="13"/>
      <c r="N40" s="13"/>
      <c r="O40" s="13"/>
      <c r="P40" s="13">
        <f t="shared" si="15"/>
        <v>0.23901683689823836</v>
      </c>
      <c r="Q40" s="13">
        <f t="shared" si="15"/>
        <v>2.7227123181102538E-2</v>
      </c>
    </row>
    <row r="41" spans="2:17" hidden="1" x14ac:dyDescent="0.25">
      <c r="C41" t="s">
        <v>29</v>
      </c>
      <c r="D41" s="13">
        <f t="shared" si="15"/>
        <v>0.29053258319776309</v>
      </c>
      <c r="E41" s="13">
        <f t="shared" si="15"/>
        <v>0.8850411073686163</v>
      </c>
      <c r="F41" s="13">
        <f t="shared" si="15"/>
        <v>0.42011787619042762</v>
      </c>
      <c r="G41" s="13">
        <f t="shared" si="15"/>
        <v>0.87866765570003147</v>
      </c>
      <c r="H41" s="13">
        <f t="shared" si="15"/>
        <v>0.89996591974568119</v>
      </c>
      <c r="I41" s="13">
        <f t="shared" si="15"/>
        <v>0.92531696965352372</v>
      </c>
      <c r="J41" s="13">
        <f t="shared" si="15"/>
        <v>0.80387424577592548</v>
      </c>
      <c r="K41" s="13">
        <f t="shared" si="15"/>
        <v>0.77259720737662119</v>
      </c>
      <c r="L41" s="13">
        <f t="shared" si="15"/>
        <v>0.54143115189617252</v>
      </c>
      <c r="M41" s="13"/>
      <c r="N41" s="13"/>
      <c r="O41" s="13"/>
      <c r="P41" s="13">
        <f t="shared" si="15"/>
        <v>0.63921866077816558</v>
      </c>
      <c r="Q41" s="13">
        <f t="shared" si="15"/>
        <v>0.96209343641753098</v>
      </c>
    </row>
  </sheetData>
  <hyperlinks>
    <hyperlink ref="K1" location="Contenido!A1" display="Contenido" xr:uid="{F4C5E6C6-0E11-432F-B99E-A3BEDDC3F534}"/>
  </hyperlinks>
  <pageMargins left="0.7" right="0.7" top="0.75" bottom="0.75" header="0.3" footer="0.3"/>
  <pageSetup scale="4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B4F7-3DCD-454A-9603-BC4896BEB01B}">
  <sheetPr>
    <pageSetUpPr fitToPage="1"/>
  </sheetPr>
  <dimension ref="A1:R38"/>
  <sheetViews>
    <sheetView workbookViewId="0">
      <selection activeCell="K1" sqref="K1"/>
    </sheetView>
  </sheetViews>
  <sheetFormatPr defaultRowHeight="15" x14ac:dyDescent="0.25"/>
  <cols>
    <col min="1" max="1" width="16.5703125" bestFit="1" customWidth="1"/>
    <col min="2" max="2" width="20" bestFit="1" customWidth="1"/>
    <col min="3" max="3" width="22.28515625" bestFit="1" customWidth="1"/>
    <col min="4" max="18" width="15.7109375" customWidth="1"/>
  </cols>
  <sheetData>
    <row r="1" spans="1:18" x14ac:dyDescent="0.25">
      <c r="A1" s="22" t="s">
        <v>82</v>
      </c>
      <c r="K1" s="28" t="s">
        <v>122</v>
      </c>
    </row>
    <row r="2" spans="1:18" x14ac:dyDescent="0.25">
      <c r="A2" s="22" t="s">
        <v>118</v>
      </c>
    </row>
    <row r="3" spans="1:18" x14ac:dyDescent="0.25">
      <c r="A3" s="22" t="s">
        <v>64</v>
      </c>
    </row>
    <row r="4" spans="1:18" x14ac:dyDescent="0.25">
      <c r="A4" s="22" t="s">
        <v>41</v>
      </c>
    </row>
    <row r="5" spans="1:18" x14ac:dyDescent="0.25">
      <c r="A5" s="22" t="s">
        <v>83</v>
      </c>
    </row>
    <row r="6" spans="1:18" x14ac:dyDescent="0.25">
      <c r="A6" s="27" t="s">
        <v>103</v>
      </c>
    </row>
    <row r="8" spans="1:18" s="12" customFormat="1" ht="75" x14ac:dyDescent="0.25">
      <c r="A8" s="9"/>
      <c r="B8" s="9"/>
      <c r="C8" s="9"/>
      <c r="D8" s="9" t="s">
        <v>1</v>
      </c>
      <c r="E8" s="9"/>
      <c r="F8" s="9"/>
      <c r="G8" s="9"/>
      <c r="H8" s="9"/>
      <c r="I8" s="9"/>
      <c r="J8" s="9"/>
      <c r="K8" s="9"/>
      <c r="L8" s="9"/>
      <c r="M8" s="9" t="s">
        <v>2</v>
      </c>
      <c r="N8" s="9" t="s">
        <v>4</v>
      </c>
      <c r="O8" s="9" t="s">
        <v>5</v>
      </c>
      <c r="P8" s="9" t="s">
        <v>6</v>
      </c>
      <c r="Q8" s="9" t="s">
        <v>7</v>
      </c>
      <c r="R8" s="9"/>
    </row>
    <row r="9" spans="1:18" x14ac:dyDescent="0.25">
      <c r="A9" s="1"/>
      <c r="B9" s="1"/>
      <c r="C9" s="1"/>
      <c r="D9" s="1" t="s">
        <v>15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/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9"/>
    </row>
    <row r="10" spans="1:18" ht="60" x14ac:dyDescent="0.25">
      <c r="A10" s="2" t="s">
        <v>16</v>
      </c>
      <c r="B10" s="2"/>
      <c r="C10" s="2" t="s">
        <v>18</v>
      </c>
      <c r="D10" s="6" t="s">
        <v>15</v>
      </c>
      <c r="E10" s="6" t="s">
        <v>19</v>
      </c>
      <c r="F10" s="6" t="s">
        <v>20</v>
      </c>
      <c r="G10" s="6" t="s">
        <v>21</v>
      </c>
      <c r="H10" s="6" t="s">
        <v>22</v>
      </c>
      <c r="I10" s="6" t="s">
        <v>23</v>
      </c>
      <c r="J10" s="6" t="s">
        <v>24</v>
      </c>
      <c r="K10" s="6" t="s">
        <v>25</v>
      </c>
      <c r="L10" s="2" t="s">
        <v>87</v>
      </c>
      <c r="M10" s="6" t="s">
        <v>15</v>
      </c>
      <c r="N10" s="6" t="s">
        <v>15</v>
      </c>
      <c r="O10" s="6" t="s">
        <v>15</v>
      </c>
      <c r="P10" s="6" t="s">
        <v>15</v>
      </c>
      <c r="Q10" s="6" t="s">
        <v>15</v>
      </c>
      <c r="R10" s="2"/>
    </row>
    <row r="11" spans="1:18" x14ac:dyDescent="0.25">
      <c r="A11" s="3" t="s">
        <v>26</v>
      </c>
      <c r="B11" s="3" t="s">
        <v>27</v>
      </c>
      <c r="C11" t="s">
        <v>28</v>
      </c>
      <c r="D11" s="7">
        <v>170804</v>
      </c>
      <c r="E11" s="7"/>
      <c r="F11" s="7"/>
      <c r="G11" s="7"/>
      <c r="H11" s="7"/>
      <c r="I11" s="7"/>
      <c r="J11" s="7"/>
      <c r="K11" s="7"/>
      <c r="L11" s="7">
        <f>SUM(D11:K11)</f>
        <v>170804</v>
      </c>
      <c r="M11" s="7">
        <v>19674</v>
      </c>
      <c r="N11" s="7">
        <v>14600</v>
      </c>
      <c r="O11" s="7">
        <v>49006</v>
      </c>
      <c r="P11" s="7"/>
      <c r="Q11" s="7"/>
      <c r="R11" s="7">
        <v>254084</v>
      </c>
    </row>
    <row r="12" spans="1:18" x14ac:dyDescent="0.25">
      <c r="A12" s="3"/>
      <c r="B12" s="3"/>
      <c r="C12" t="s">
        <v>29</v>
      </c>
      <c r="D12" s="7">
        <v>108365</v>
      </c>
      <c r="E12" s="7"/>
      <c r="F12" s="7"/>
      <c r="G12" s="7"/>
      <c r="H12" s="7"/>
      <c r="I12" s="7"/>
      <c r="J12" s="7"/>
      <c r="K12" s="7"/>
      <c r="L12" s="7">
        <f t="shared" ref="L12:L22" si="0">SUM(D12:K12)</f>
        <v>108365</v>
      </c>
      <c r="M12" s="7">
        <v>26835</v>
      </c>
      <c r="N12" s="7">
        <v>10685</v>
      </c>
      <c r="O12" s="7">
        <v>22825</v>
      </c>
      <c r="P12" s="7"/>
      <c r="Q12" s="7"/>
      <c r="R12" s="7">
        <v>168710</v>
      </c>
    </row>
    <row r="13" spans="1:18" x14ac:dyDescent="0.25">
      <c r="A13" s="3"/>
      <c r="B13" s="3"/>
      <c r="C13" t="s">
        <v>30</v>
      </c>
      <c r="D13" s="7">
        <v>962453</v>
      </c>
      <c r="E13" s="7"/>
      <c r="F13" s="7"/>
      <c r="G13" s="7"/>
      <c r="H13" s="7"/>
      <c r="I13" s="7"/>
      <c r="J13" s="7"/>
      <c r="K13" s="7"/>
      <c r="L13" s="7">
        <f t="shared" si="0"/>
        <v>962453</v>
      </c>
      <c r="M13" s="7">
        <v>124970</v>
      </c>
      <c r="N13" s="7">
        <v>32890</v>
      </c>
      <c r="O13" s="7">
        <v>-71831</v>
      </c>
      <c r="P13" s="7"/>
      <c r="Q13" s="7"/>
      <c r="R13" s="7">
        <v>1048482</v>
      </c>
    </row>
    <row r="14" spans="1:18" x14ac:dyDescent="0.25">
      <c r="A14" s="5" t="s">
        <v>68</v>
      </c>
      <c r="B14" s="5"/>
      <c r="C14" s="5"/>
      <c r="D14" s="8">
        <v>1241622</v>
      </c>
      <c r="E14" s="8"/>
      <c r="F14" s="8"/>
      <c r="G14" s="8"/>
      <c r="H14" s="8"/>
      <c r="I14" s="8"/>
      <c r="J14" s="8"/>
      <c r="K14" s="8"/>
      <c r="L14" s="8">
        <f t="shared" si="0"/>
        <v>1241622</v>
      </c>
      <c r="M14" s="8">
        <v>171479</v>
      </c>
      <c r="N14" s="8">
        <v>58175</v>
      </c>
      <c r="O14" s="8">
        <v>0</v>
      </c>
      <c r="P14" s="8"/>
      <c r="Q14" s="8"/>
      <c r="R14" s="8">
        <v>1471276</v>
      </c>
    </row>
    <row r="15" spans="1:18" x14ac:dyDescent="0.25">
      <c r="A15" s="3" t="s">
        <v>32</v>
      </c>
      <c r="B15" s="3" t="s">
        <v>33</v>
      </c>
      <c r="C15" t="s">
        <v>28</v>
      </c>
      <c r="D15" s="7"/>
      <c r="E15" s="7">
        <v>10797</v>
      </c>
      <c r="F15" s="7">
        <v>32</v>
      </c>
      <c r="G15" s="7">
        <v>63566</v>
      </c>
      <c r="H15" s="7">
        <v>0</v>
      </c>
      <c r="I15" s="7">
        <v>79</v>
      </c>
      <c r="J15" s="7">
        <v>22</v>
      </c>
      <c r="K15" s="7">
        <v>25608</v>
      </c>
      <c r="L15" s="7">
        <f t="shared" si="0"/>
        <v>100104</v>
      </c>
      <c r="M15" s="7">
        <v>33005</v>
      </c>
      <c r="N15" s="7"/>
      <c r="O15" s="7"/>
      <c r="P15" s="7">
        <v>112858</v>
      </c>
      <c r="Q15" s="7">
        <v>8117</v>
      </c>
      <c r="R15" s="7">
        <v>254084</v>
      </c>
    </row>
    <row r="16" spans="1:18" x14ac:dyDescent="0.25">
      <c r="A16" s="3"/>
      <c r="B16" s="3"/>
      <c r="C16" t="s">
        <v>29</v>
      </c>
      <c r="D16" s="7"/>
      <c r="E16" s="7">
        <v>4382</v>
      </c>
      <c r="F16" s="7">
        <v>3164</v>
      </c>
      <c r="G16" s="7">
        <v>20675</v>
      </c>
      <c r="H16" s="7">
        <v>353</v>
      </c>
      <c r="I16" s="7">
        <v>3875</v>
      </c>
      <c r="J16" s="7">
        <v>2660</v>
      </c>
      <c r="K16" s="7">
        <v>21212</v>
      </c>
      <c r="L16" s="7">
        <f t="shared" si="0"/>
        <v>56321</v>
      </c>
      <c r="M16" s="7">
        <v>10067</v>
      </c>
      <c r="N16" s="7"/>
      <c r="O16" s="7"/>
      <c r="P16" s="7">
        <v>99328</v>
      </c>
      <c r="Q16" s="7">
        <v>2994</v>
      </c>
      <c r="R16" s="7">
        <v>168710</v>
      </c>
    </row>
    <row r="17" spans="1:18" x14ac:dyDescent="0.25">
      <c r="A17" s="3"/>
      <c r="B17" s="3"/>
      <c r="C17" t="s">
        <v>30</v>
      </c>
      <c r="D17" s="7"/>
      <c r="E17" s="7">
        <v>5356</v>
      </c>
      <c r="F17" s="7">
        <v>37795</v>
      </c>
      <c r="G17" s="7">
        <v>106855</v>
      </c>
      <c r="H17" s="7">
        <v>11354</v>
      </c>
      <c r="I17" s="7">
        <v>42449</v>
      </c>
      <c r="J17" s="7">
        <v>40085</v>
      </c>
      <c r="K17" s="7">
        <v>167964</v>
      </c>
      <c r="L17" s="7">
        <f t="shared" si="0"/>
        <v>411858</v>
      </c>
      <c r="M17" s="7">
        <v>141231</v>
      </c>
      <c r="N17" s="7"/>
      <c r="O17" s="7"/>
      <c r="P17" s="7">
        <v>350229</v>
      </c>
      <c r="Q17" s="7">
        <v>145164</v>
      </c>
      <c r="R17" s="7">
        <v>1048482</v>
      </c>
    </row>
    <row r="18" spans="1:18" x14ac:dyDescent="0.25">
      <c r="A18" s="5" t="s">
        <v>70</v>
      </c>
      <c r="B18" s="5"/>
      <c r="C18" s="5"/>
      <c r="D18" s="8"/>
      <c r="E18" s="8">
        <v>20535</v>
      </c>
      <c r="F18" s="8">
        <v>40991</v>
      </c>
      <c r="G18" s="8">
        <v>191096</v>
      </c>
      <c r="H18" s="8">
        <v>11707</v>
      </c>
      <c r="I18" s="8">
        <v>46403</v>
      </c>
      <c r="J18" s="8">
        <v>42767</v>
      </c>
      <c r="K18" s="8">
        <v>214784</v>
      </c>
      <c r="L18" s="8">
        <f t="shared" si="0"/>
        <v>568283</v>
      </c>
      <c r="M18" s="8">
        <v>184303</v>
      </c>
      <c r="N18" s="8"/>
      <c r="O18" s="8"/>
      <c r="P18" s="8">
        <v>562415</v>
      </c>
      <c r="Q18" s="8">
        <v>156275</v>
      </c>
      <c r="R18" s="8">
        <v>1471276</v>
      </c>
    </row>
    <row r="19" spans="1:18" x14ac:dyDescent="0.25">
      <c r="A19" s="3" t="s">
        <v>35</v>
      </c>
      <c r="B19" s="3" t="s">
        <v>35</v>
      </c>
      <c r="C19" t="s">
        <v>15</v>
      </c>
      <c r="D19" s="7"/>
      <c r="E19" s="7">
        <v>50211</v>
      </c>
      <c r="F19" s="7">
        <v>67705</v>
      </c>
      <c r="G19" s="7">
        <v>96587</v>
      </c>
      <c r="H19" s="7">
        <v>17662</v>
      </c>
      <c r="I19" s="7">
        <v>49648</v>
      </c>
      <c r="J19" s="7">
        <v>75435</v>
      </c>
      <c r="K19" s="7">
        <v>316091</v>
      </c>
      <c r="L19" s="7">
        <f t="shared" si="0"/>
        <v>673339</v>
      </c>
      <c r="M19" s="7"/>
      <c r="N19" s="7"/>
      <c r="O19" s="7"/>
      <c r="P19" s="7"/>
      <c r="Q19" s="7"/>
      <c r="R19" s="7">
        <v>673339</v>
      </c>
    </row>
    <row r="20" spans="1:18" x14ac:dyDescent="0.25">
      <c r="A20" s="5" t="s">
        <v>35</v>
      </c>
      <c r="B20" s="5"/>
      <c r="C20" s="5"/>
      <c r="D20" s="8"/>
      <c r="E20" s="8">
        <v>50211</v>
      </c>
      <c r="F20" s="8">
        <v>67705</v>
      </c>
      <c r="G20" s="8">
        <v>96587</v>
      </c>
      <c r="H20" s="8">
        <v>17662</v>
      </c>
      <c r="I20" s="8">
        <v>49648</v>
      </c>
      <c r="J20" s="8">
        <v>75435</v>
      </c>
      <c r="K20" s="8">
        <v>316091</v>
      </c>
      <c r="L20" s="8">
        <f t="shared" si="0"/>
        <v>673339</v>
      </c>
      <c r="M20" s="8"/>
      <c r="N20" s="8"/>
      <c r="O20" s="8"/>
      <c r="P20" s="8"/>
      <c r="Q20" s="8"/>
      <c r="R20" s="8">
        <v>673339</v>
      </c>
    </row>
    <row r="21" spans="1:18" x14ac:dyDescent="0.25">
      <c r="A21" s="3" t="s">
        <v>58</v>
      </c>
      <c r="B21" s="3" t="s">
        <v>62</v>
      </c>
      <c r="C21" t="s">
        <v>15</v>
      </c>
      <c r="D21" s="7"/>
      <c r="E21" s="7">
        <v>4267607</v>
      </c>
      <c r="F21" s="7">
        <v>219786</v>
      </c>
      <c r="G21" s="7">
        <v>1879355</v>
      </c>
      <c r="H21" s="7">
        <v>61008</v>
      </c>
      <c r="I21" s="7">
        <v>1066631</v>
      </c>
      <c r="J21" s="7">
        <v>3147206</v>
      </c>
      <c r="K21" s="7">
        <v>6725525</v>
      </c>
      <c r="L21" s="7">
        <f t="shared" si="0"/>
        <v>17367118</v>
      </c>
      <c r="M21" s="7"/>
      <c r="N21" s="7"/>
      <c r="O21" s="7"/>
      <c r="P21" s="7"/>
      <c r="Q21" s="7"/>
      <c r="R21" s="7">
        <v>17367118</v>
      </c>
    </row>
    <row r="22" spans="1:18" x14ac:dyDescent="0.25">
      <c r="A22" s="5" t="s">
        <v>71</v>
      </c>
      <c r="B22" s="5"/>
      <c r="C22" s="5"/>
      <c r="D22" s="8"/>
      <c r="E22" s="8">
        <v>4267607</v>
      </c>
      <c r="F22" s="8">
        <v>219786</v>
      </c>
      <c r="G22" s="8">
        <v>1879355</v>
      </c>
      <c r="H22" s="8">
        <v>61008</v>
      </c>
      <c r="I22" s="8">
        <v>1066631</v>
      </c>
      <c r="J22" s="8">
        <v>3147206</v>
      </c>
      <c r="K22" s="8">
        <v>6725525</v>
      </c>
      <c r="L22" s="8">
        <f t="shared" si="0"/>
        <v>17367118</v>
      </c>
      <c r="M22" s="8"/>
      <c r="N22" s="8"/>
      <c r="O22" s="8"/>
      <c r="P22" s="8"/>
      <c r="Q22" s="8"/>
      <c r="R22" s="8">
        <v>17367118</v>
      </c>
    </row>
    <row r="32" spans="1:18" hidden="1" x14ac:dyDescent="0.25">
      <c r="B32" t="s">
        <v>27</v>
      </c>
      <c r="C32" t="s">
        <v>28</v>
      </c>
      <c r="D32" s="13">
        <f>D11/D$14</f>
        <v>0.13756521711116587</v>
      </c>
      <c r="E32" s="13"/>
      <c r="F32" s="13"/>
      <c r="G32" s="13"/>
      <c r="H32" s="13"/>
      <c r="I32" s="13"/>
      <c r="J32" s="13"/>
      <c r="K32" s="13"/>
      <c r="L32" s="13">
        <f t="shared" ref="L32:N32" si="1">L11/L$14</f>
        <v>0.13756521711116587</v>
      </c>
      <c r="M32" s="13">
        <f t="shared" si="1"/>
        <v>0.11473124989065717</v>
      </c>
      <c r="N32" s="13">
        <f t="shared" si="1"/>
        <v>0.25096691018478728</v>
      </c>
      <c r="O32" s="13"/>
      <c r="P32" s="13"/>
      <c r="Q32" s="13"/>
    </row>
    <row r="33" spans="2:17" hidden="1" x14ac:dyDescent="0.25">
      <c r="C33" t="s">
        <v>29</v>
      </c>
      <c r="D33" s="13">
        <f t="shared" ref="D33:N34" si="2">D12/D$14</f>
        <v>8.7276965131094647E-2</v>
      </c>
      <c r="E33" s="13"/>
      <c r="F33" s="13"/>
      <c r="G33" s="13"/>
      <c r="H33" s="13"/>
      <c r="I33" s="13"/>
      <c r="J33" s="13"/>
      <c r="K33" s="13"/>
      <c r="L33" s="13">
        <f t="shared" si="2"/>
        <v>8.7276965131094647E-2</v>
      </c>
      <c r="M33" s="13">
        <f t="shared" si="2"/>
        <v>0.15649146542725348</v>
      </c>
      <c r="N33" s="13">
        <f t="shared" si="2"/>
        <v>0.18366996132359262</v>
      </c>
      <c r="O33" s="13"/>
      <c r="P33" s="13"/>
      <c r="Q33" s="13"/>
    </row>
    <row r="34" spans="2:17" hidden="1" x14ac:dyDescent="0.25">
      <c r="C34" t="s">
        <v>30</v>
      </c>
      <c r="D34" s="13">
        <f t="shared" si="2"/>
        <v>0.77515781775773951</v>
      </c>
      <c r="E34" s="13"/>
      <c r="F34" s="13"/>
      <c r="G34" s="13"/>
      <c r="H34" s="13"/>
      <c r="I34" s="13"/>
      <c r="J34" s="13"/>
      <c r="K34" s="13"/>
      <c r="L34" s="13">
        <f t="shared" si="2"/>
        <v>0.77515781775773951</v>
      </c>
      <c r="M34" s="13">
        <f t="shared" si="2"/>
        <v>0.72877728468208935</v>
      </c>
      <c r="N34" s="13">
        <f t="shared" si="2"/>
        <v>0.56536312849162007</v>
      </c>
      <c r="O34" s="13"/>
      <c r="P34" s="13"/>
      <c r="Q34" s="13"/>
    </row>
    <row r="35" spans="2:17" hidden="1" x14ac:dyDescent="0.25"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2:17" hidden="1" x14ac:dyDescent="0.25">
      <c r="B36" t="s">
        <v>33</v>
      </c>
      <c r="C36" t="s">
        <v>28</v>
      </c>
      <c r="D36" s="13"/>
      <c r="E36" s="13">
        <f t="shared" ref="E36:Q36" si="3">E15/E$18</f>
        <v>0.52578524470416366</v>
      </c>
      <c r="F36" s="13">
        <f t="shared" si="3"/>
        <v>7.8065916908589693E-4</v>
      </c>
      <c r="G36" s="13">
        <f t="shared" si="3"/>
        <v>0.33263909239335204</v>
      </c>
      <c r="H36" s="13">
        <f t="shared" si="3"/>
        <v>0</v>
      </c>
      <c r="I36" s="13">
        <f t="shared" si="3"/>
        <v>1.7024761330086417E-3</v>
      </c>
      <c r="J36" s="13">
        <f t="shared" si="3"/>
        <v>5.1441532022353687E-4</v>
      </c>
      <c r="K36" s="13">
        <f t="shared" si="3"/>
        <v>0.11922675804529201</v>
      </c>
      <c r="L36" s="13">
        <f t="shared" si="3"/>
        <v>0.17615167091044426</v>
      </c>
      <c r="M36" s="13">
        <f t="shared" si="3"/>
        <v>0.17908010178890196</v>
      </c>
      <c r="N36" s="13"/>
      <c r="O36" s="13"/>
      <c r="P36" s="13">
        <f t="shared" si="3"/>
        <v>0.20066676742263276</v>
      </c>
      <c r="Q36" s="13">
        <f t="shared" si="3"/>
        <v>5.1940489521676535E-2</v>
      </c>
    </row>
    <row r="37" spans="2:17" hidden="1" x14ac:dyDescent="0.25">
      <c r="C37" t="s">
        <v>29</v>
      </c>
      <c r="D37" s="13"/>
      <c r="E37" s="13">
        <f t="shared" ref="E37:Q38" si="4">E16/E$18</f>
        <v>0.21339177014852689</v>
      </c>
      <c r="F37" s="13">
        <f t="shared" si="4"/>
        <v>7.7187675343368053E-2</v>
      </c>
      <c r="G37" s="13">
        <f t="shared" si="4"/>
        <v>0.10819169422698539</v>
      </c>
      <c r="H37" s="13">
        <f t="shared" si="4"/>
        <v>3.0152899974374307E-2</v>
      </c>
      <c r="I37" s="13">
        <f t="shared" si="4"/>
        <v>8.3507531840613755E-2</v>
      </c>
      <c r="J37" s="13">
        <f t="shared" si="4"/>
        <v>6.2197488717936726E-2</v>
      </c>
      <c r="K37" s="13">
        <f t="shared" si="4"/>
        <v>9.8759684147794999E-2</v>
      </c>
      <c r="L37" s="13">
        <f t="shared" si="4"/>
        <v>9.9107310970062451E-2</v>
      </c>
      <c r="M37" s="13">
        <f t="shared" si="4"/>
        <v>5.4622008323250301E-2</v>
      </c>
      <c r="N37" s="13"/>
      <c r="O37" s="13"/>
      <c r="P37" s="13">
        <f t="shared" si="4"/>
        <v>0.17660979881404301</v>
      </c>
      <c r="Q37" s="13">
        <f t="shared" si="4"/>
        <v>1.9158534634458487E-2</v>
      </c>
    </row>
    <row r="38" spans="2:17" hidden="1" x14ac:dyDescent="0.25">
      <c r="C38" t="s">
        <v>30</v>
      </c>
      <c r="D38" s="13"/>
      <c r="E38" s="13">
        <f t="shared" si="4"/>
        <v>0.26082298514730945</v>
      </c>
      <c r="F38" s="13">
        <f t="shared" si="4"/>
        <v>0.922031665487546</v>
      </c>
      <c r="G38" s="13">
        <f t="shared" si="4"/>
        <v>0.55916921337966263</v>
      </c>
      <c r="H38" s="13">
        <f t="shared" si="4"/>
        <v>0.96984710002562569</v>
      </c>
      <c r="I38" s="13">
        <f t="shared" si="4"/>
        <v>0.91478999202637756</v>
      </c>
      <c r="J38" s="13">
        <f t="shared" si="4"/>
        <v>0.93728809596183971</v>
      </c>
      <c r="K38" s="13">
        <f t="shared" si="4"/>
        <v>0.78201355780691295</v>
      </c>
      <c r="L38" s="13">
        <f t="shared" si="4"/>
        <v>0.72474101811949332</v>
      </c>
      <c r="M38" s="13">
        <f t="shared" si="4"/>
        <v>0.76629788988784775</v>
      </c>
      <c r="N38" s="13"/>
      <c r="O38" s="13"/>
      <c r="P38" s="13">
        <f t="shared" si="4"/>
        <v>0.62272343376332429</v>
      </c>
      <c r="Q38" s="13">
        <f t="shared" si="4"/>
        <v>0.928900975843865</v>
      </c>
    </row>
  </sheetData>
  <hyperlinks>
    <hyperlink ref="K1" location="Contenido!A1" display="Contenido" xr:uid="{51F4FD0E-0BCC-48B7-B876-456E78C01ED8}"/>
  </hyperlinks>
  <pageMargins left="0.7" right="0.7" top="0.75" bottom="0.75" header="0.3" footer="0.3"/>
  <pageSetup scale="4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4F8A-4356-4F09-9241-93FF5124ECE5}">
  <sheetPr>
    <pageSetUpPr fitToPage="1"/>
  </sheetPr>
  <dimension ref="A1:R41"/>
  <sheetViews>
    <sheetView workbookViewId="0">
      <selection activeCell="B12" sqref="B12"/>
    </sheetView>
  </sheetViews>
  <sheetFormatPr defaultRowHeight="15" x14ac:dyDescent="0.25"/>
  <cols>
    <col min="1" max="1" width="19.7109375" bestFit="1" customWidth="1"/>
    <col min="2" max="2" width="25" customWidth="1"/>
    <col min="3" max="3" width="24.5703125" bestFit="1" customWidth="1"/>
    <col min="4" max="18" width="15.7109375" customWidth="1"/>
  </cols>
  <sheetData>
    <row r="1" spans="1:18" x14ac:dyDescent="0.25">
      <c r="A1" s="22" t="s">
        <v>84</v>
      </c>
      <c r="K1" s="28" t="s">
        <v>122</v>
      </c>
    </row>
    <row r="2" spans="1:18" x14ac:dyDescent="0.25">
      <c r="A2" s="22" t="s">
        <v>118</v>
      </c>
    </row>
    <row r="3" spans="1:18" x14ac:dyDescent="0.25">
      <c r="A3" s="22" t="s">
        <v>64</v>
      </c>
    </row>
    <row r="4" spans="1:18" x14ac:dyDescent="0.25">
      <c r="A4" s="22" t="s">
        <v>41</v>
      </c>
    </row>
    <row r="5" spans="1:18" x14ac:dyDescent="0.25">
      <c r="A5" s="22" t="s">
        <v>86</v>
      </c>
    </row>
    <row r="6" spans="1:18" x14ac:dyDescent="0.25">
      <c r="A6" s="27" t="s">
        <v>103</v>
      </c>
    </row>
    <row r="8" spans="1:18" s="12" customFormat="1" ht="75" x14ac:dyDescent="0.25">
      <c r="A8" s="9"/>
      <c r="B8" s="9"/>
      <c r="C8" s="9"/>
      <c r="D8" s="9" t="s">
        <v>1</v>
      </c>
      <c r="E8" s="9"/>
      <c r="F8" s="9"/>
      <c r="G8" s="9"/>
      <c r="H8" s="9"/>
      <c r="I8" s="9"/>
      <c r="J8" s="9"/>
      <c r="K8" s="9"/>
      <c r="L8" s="9" t="s">
        <v>2</v>
      </c>
      <c r="M8" s="9" t="s">
        <v>3</v>
      </c>
      <c r="N8" s="9" t="s">
        <v>4</v>
      </c>
      <c r="O8" s="9" t="s">
        <v>5</v>
      </c>
      <c r="P8" s="9" t="s">
        <v>6</v>
      </c>
      <c r="Q8" s="9" t="s">
        <v>7</v>
      </c>
      <c r="R8" s="9"/>
    </row>
    <row r="9" spans="1:18" x14ac:dyDescent="0.25">
      <c r="A9" s="1"/>
      <c r="B9" s="1"/>
      <c r="C9" s="1"/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/>
      <c r="L9" s="1" t="s">
        <v>15</v>
      </c>
      <c r="M9" s="1" t="s">
        <v>15</v>
      </c>
      <c r="N9" s="1" t="s">
        <v>15</v>
      </c>
      <c r="O9" s="1" t="s">
        <v>15</v>
      </c>
      <c r="P9" s="1" t="s">
        <v>15</v>
      </c>
      <c r="Q9" s="1" t="s">
        <v>15</v>
      </c>
      <c r="R9" s="1"/>
    </row>
    <row r="10" spans="1:18" s="12" customFormat="1" ht="60" x14ac:dyDescent="0.25">
      <c r="A10" s="2" t="s">
        <v>16</v>
      </c>
      <c r="B10" s="2"/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87</v>
      </c>
      <c r="L10" s="2" t="s">
        <v>15</v>
      </c>
      <c r="M10" s="2" t="s">
        <v>15</v>
      </c>
      <c r="N10" s="2" t="s">
        <v>15</v>
      </c>
      <c r="O10" s="2" t="s">
        <v>15</v>
      </c>
      <c r="P10" s="2" t="s">
        <v>15</v>
      </c>
      <c r="Q10" s="2" t="s">
        <v>15</v>
      </c>
      <c r="R10" s="2"/>
    </row>
    <row r="11" spans="1:18" x14ac:dyDescent="0.25">
      <c r="A11" s="3" t="s">
        <v>26</v>
      </c>
      <c r="B11" s="3" t="s">
        <v>27</v>
      </c>
      <c r="C11" t="s">
        <v>28</v>
      </c>
      <c r="D11" s="7">
        <v>2343.174327041374</v>
      </c>
      <c r="E11" s="7">
        <v>0</v>
      </c>
      <c r="F11" s="7">
        <v>4864.8949584282536</v>
      </c>
      <c r="G11" s="7">
        <v>0</v>
      </c>
      <c r="H11" s="7">
        <v>0</v>
      </c>
      <c r="I11" s="7">
        <v>0</v>
      </c>
      <c r="J11" s="7">
        <v>1.68657562946871</v>
      </c>
      <c r="K11" s="7">
        <f>SUM(D11:J11)</f>
        <v>7209.7558610990964</v>
      </c>
      <c r="L11" s="7">
        <v>2204.6810846539456</v>
      </c>
      <c r="M11" s="7">
        <v>0</v>
      </c>
      <c r="N11" s="7">
        <v>730.69858130379498</v>
      </c>
      <c r="O11" s="7">
        <v>1963.153068555921</v>
      </c>
      <c r="P11" s="7"/>
      <c r="Q11" s="7"/>
      <c r="R11" s="7">
        <v>12108.288595612757</v>
      </c>
    </row>
    <row r="12" spans="1:18" x14ac:dyDescent="0.25">
      <c r="A12" s="3"/>
      <c r="B12" s="3"/>
      <c r="C12" t="s">
        <v>29</v>
      </c>
      <c r="D12" s="7">
        <v>0</v>
      </c>
      <c r="E12" s="7">
        <v>0</v>
      </c>
      <c r="F12" s="7">
        <v>3510.4456415244895</v>
      </c>
      <c r="G12" s="7">
        <v>40.981026835008528</v>
      </c>
      <c r="H12" s="7">
        <v>0</v>
      </c>
      <c r="I12" s="7">
        <v>17.424224444775362</v>
      </c>
      <c r="J12" s="7">
        <v>1986.1520171181799</v>
      </c>
      <c r="K12" s="7">
        <f t="shared" ref="K12:K23" si="0">SUM(D12:J12)</f>
        <v>5555.002909922453</v>
      </c>
      <c r="L12" s="7">
        <v>2984.5986419308697</v>
      </c>
      <c r="M12" s="7">
        <v>0</v>
      </c>
      <c r="N12" s="7">
        <v>482.46042939657201</v>
      </c>
      <c r="O12" s="7">
        <v>1400.6466399136707</v>
      </c>
      <c r="P12" s="7"/>
      <c r="Q12" s="7"/>
      <c r="R12" s="7">
        <v>10422.708621163565</v>
      </c>
    </row>
    <row r="13" spans="1:18" x14ac:dyDescent="0.25">
      <c r="A13" s="3"/>
      <c r="B13" s="3"/>
      <c r="C13" t="s">
        <v>30</v>
      </c>
      <c r="D13" s="7">
        <v>35.853351836483483</v>
      </c>
      <c r="E13" s="7">
        <v>112.4537481795721</v>
      </c>
      <c r="F13" s="7">
        <v>3440.6523278571358</v>
      </c>
      <c r="G13" s="7">
        <v>1488.388529466235</v>
      </c>
      <c r="H13" s="7">
        <v>2864.2457570454512</v>
      </c>
      <c r="I13" s="7">
        <v>4632.1081518400924</v>
      </c>
      <c r="J13" s="7">
        <v>17306.241651138484</v>
      </c>
      <c r="K13" s="7">
        <f t="shared" si="0"/>
        <v>29879.943517363456</v>
      </c>
      <c r="L13" s="7">
        <v>7221.2113421654658</v>
      </c>
      <c r="M13" s="7">
        <v>-628.75594803370109</v>
      </c>
      <c r="N13" s="7">
        <v>1305.7482082796341</v>
      </c>
      <c r="O13" s="7">
        <v>-3363.7997084695894</v>
      </c>
      <c r="P13" s="7"/>
      <c r="Q13" s="7"/>
      <c r="R13" s="7">
        <v>34414.347411305265</v>
      </c>
    </row>
    <row r="14" spans="1:18" x14ac:dyDescent="0.25">
      <c r="A14" s="3"/>
      <c r="B14" s="3" t="s">
        <v>3</v>
      </c>
      <c r="C14" t="s">
        <v>15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f t="shared" si="0"/>
        <v>0</v>
      </c>
      <c r="L14" s="7">
        <v>-628.75594803370097</v>
      </c>
      <c r="M14" s="7">
        <v>628.75594803370097</v>
      </c>
      <c r="N14" s="7">
        <v>0</v>
      </c>
      <c r="O14" s="7">
        <v>0</v>
      </c>
      <c r="P14" s="7"/>
      <c r="Q14" s="7"/>
      <c r="R14" s="7">
        <v>0</v>
      </c>
    </row>
    <row r="15" spans="1:18" ht="30" x14ac:dyDescent="0.25">
      <c r="A15" s="3"/>
      <c r="B15" s="25" t="s">
        <v>31</v>
      </c>
      <c r="C15" t="s">
        <v>15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f t="shared" si="0"/>
        <v>0</v>
      </c>
      <c r="L15" s="7">
        <v>369.806116053523</v>
      </c>
      <c r="M15" s="7">
        <v>0</v>
      </c>
      <c r="N15" s="7">
        <v>0</v>
      </c>
      <c r="O15" s="7">
        <v>0</v>
      </c>
      <c r="P15" s="7"/>
      <c r="Q15" s="7"/>
      <c r="R15" s="7">
        <v>369.806116053523</v>
      </c>
    </row>
    <row r="16" spans="1:18" x14ac:dyDescent="0.25">
      <c r="A16" s="5" t="s">
        <v>68</v>
      </c>
      <c r="B16" s="5"/>
      <c r="C16" s="5"/>
      <c r="D16" s="8">
        <v>2379.0276788778574</v>
      </c>
      <c r="E16" s="8">
        <v>112.4537481795721</v>
      </c>
      <c r="F16" s="8">
        <v>11815.992927809879</v>
      </c>
      <c r="G16" s="8">
        <v>1529.3695563012436</v>
      </c>
      <c r="H16" s="8">
        <v>2864.2457570454512</v>
      </c>
      <c r="I16" s="8">
        <v>4649.5323762848675</v>
      </c>
      <c r="J16" s="8">
        <v>19294.080243886132</v>
      </c>
      <c r="K16" s="8">
        <f t="shared" si="0"/>
        <v>42644.702288385</v>
      </c>
      <c r="L16" s="8">
        <f>SUM(L11:L13)</f>
        <v>12410.491068750282</v>
      </c>
      <c r="M16" s="8">
        <v>-1.1368683772161603E-13</v>
      </c>
      <c r="N16" s="8">
        <v>2518.9072189800008</v>
      </c>
      <c r="O16" s="8">
        <v>2.2737367544323206E-12</v>
      </c>
      <c r="P16" s="8"/>
      <c r="Q16" s="8"/>
      <c r="R16" s="8">
        <v>57315.150744135106</v>
      </c>
    </row>
    <row r="17" spans="1:18" x14ac:dyDescent="0.25">
      <c r="A17" s="3" t="s">
        <v>32</v>
      </c>
      <c r="B17" s="3" t="s">
        <v>33</v>
      </c>
      <c r="C17" t="s">
        <v>28</v>
      </c>
      <c r="D17" s="7">
        <v>495.31709351458062</v>
      </c>
      <c r="E17" s="7">
        <v>8.2790186085786102E-3</v>
      </c>
      <c r="F17" s="7">
        <v>2300.2100731642327</v>
      </c>
      <c r="G17" s="7">
        <v>0.33923251554479505</v>
      </c>
      <c r="H17" s="7">
        <v>3.474738309754076</v>
      </c>
      <c r="I17" s="7">
        <v>1.339235535165042</v>
      </c>
      <c r="J17" s="7">
        <v>753.89662991126943</v>
      </c>
      <c r="K17" s="7">
        <f t="shared" si="0"/>
        <v>3554.5852819691554</v>
      </c>
      <c r="L17" s="7">
        <v>1108.765682349997</v>
      </c>
      <c r="M17" s="7"/>
      <c r="N17" s="7"/>
      <c r="O17" s="7"/>
      <c r="P17" s="7">
        <v>7290.9725151873099</v>
      </c>
      <c r="Q17" s="7">
        <v>153.96511596734268</v>
      </c>
      <c r="R17" s="7">
        <v>12108.288595473805</v>
      </c>
    </row>
    <row r="18" spans="1:18" x14ac:dyDescent="0.25">
      <c r="A18" s="3"/>
      <c r="B18" s="3"/>
      <c r="C18" t="s">
        <v>29</v>
      </c>
      <c r="D18" s="7">
        <v>255.63507340796079</v>
      </c>
      <c r="E18" s="7">
        <v>0.86392814602964918</v>
      </c>
      <c r="F18" s="7">
        <v>2701.7246478564498</v>
      </c>
      <c r="G18" s="7">
        <v>24.012045109171215</v>
      </c>
      <c r="H18" s="7">
        <v>92.977426407067583</v>
      </c>
      <c r="I18" s="7">
        <v>102.03363900163635</v>
      </c>
      <c r="J18" s="7">
        <v>397.1466830350127</v>
      </c>
      <c r="K18" s="7">
        <f t="shared" si="0"/>
        <v>3574.3934429633277</v>
      </c>
      <c r="L18" s="7">
        <v>2746.1983487703355</v>
      </c>
      <c r="M18" s="7"/>
      <c r="N18" s="7"/>
      <c r="O18" s="7"/>
      <c r="P18" s="7">
        <v>4105.2809043265188</v>
      </c>
      <c r="Q18" s="7">
        <v>-3.1640748940172592</v>
      </c>
      <c r="R18" s="7">
        <v>10422.708621166164</v>
      </c>
    </row>
    <row r="19" spans="1:18" x14ac:dyDescent="0.25">
      <c r="A19" s="3"/>
      <c r="B19" s="3"/>
      <c r="C19" t="s">
        <v>30</v>
      </c>
      <c r="D19" s="7">
        <v>292.48367332477699</v>
      </c>
      <c r="E19" s="7">
        <v>40.591220023074158</v>
      </c>
      <c r="F19" s="7">
        <v>2731.9464284734368</v>
      </c>
      <c r="G19" s="7">
        <v>561.42834374210804</v>
      </c>
      <c r="H19" s="7">
        <v>1339.6218297686062</v>
      </c>
      <c r="I19" s="7">
        <v>1528.7132959633966</v>
      </c>
      <c r="J19" s="7">
        <v>5518.9922557098516</v>
      </c>
      <c r="K19" s="7">
        <f t="shared" si="0"/>
        <v>12013.777047005249</v>
      </c>
      <c r="L19" s="7">
        <v>3347.9960545932208</v>
      </c>
      <c r="M19" s="7"/>
      <c r="N19" s="7"/>
      <c r="O19" s="7"/>
      <c r="P19" s="7">
        <v>14422.946599261324</v>
      </c>
      <c r="Q19" s="7">
        <v>4629.627711458571</v>
      </c>
      <c r="R19" s="7">
        <v>34414.347412318362</v>
      </c>
    </row>
    <row r="20" spans="1:18" ht="45" x14ac:dyDescent="0.25">
      <c r="A20" s="3"/>
      <c r="B20" s="25" t="s">
        <v>34</v>
      </c>
      <c r="C20" t="s">
        <v>15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f t="shared" si="0"/>
        <v>0</v>
      </c>
      <c r="L20" s="7">
        <v>326.00600219976502</v>
      </c>
      <c r="M20" s="7"/>
      <c r="N20" s="7"/>
      <c r="O20" s="7"/>
      <c r="P20" s="7">
        <v>43.800113853757999</v>
      </c>
      <c r="Q20" s="7">
        <v>0</v>
      </c>
      <c r="R20" s="7">
        <v>369.806116053523</v>
      </c>
    </row>
    <row r="21" spans="1:18" x14ac:dyDescent="0.25">
      <c r="A21" s="5" t="s">
        <v>70</v>
      </c>
      <c r="B21" s="5"/>
      <c r="C21" s="5"/>
      <c r="D21" s="8">
        <v>1043.4358402473185</v>
      </c>
      <c r="E21" s="8">
        <v>41.463427187712384</v>
      </c>
      <c r="F21" s="8">
        <v>7733.8811494941192</v>
      </c>
      <c r="G21" s="8">
        <v>585.77962136682402</v>
      </c>
      <c r="H21" s="8">
        <v>1436.0739944854279</v>
      </c>
      <c r="I21" s="8">
        <v>1632.086170500198</v>
      </c>
      <c r="J21" s="8">
        <v>6670.0355686561343</v>
      </c>
      <c r="K21" s="8">
        <f t="shared" si="0"/>
        <v>19142.755771937736</v>
      </c>
      <c r="L21" s="8">
        <v>7528.9660879133189</v>
      </c>
      <c r="M21" s="8"/>
      <c r="N21" s="8"/>
      <c r="O21" s="8"/>
      <c r="P21" s="8">
        <v>25863.000132628913</v>
      </c>
      <c r="Q21" s="8">
        <v>4780.428752531896</v>
      </c>
      <c r="R21" s="8">
        <v>57315.150745011852</v>
      </c>
    </row>
    <row r="22" spans="1:18" x14ac:dyDescent="0.25">
      <c r="A22" s="5" t="s">
        <v>35</v>
      </c>
      <c r="B22" s="5"/>
      <c r="C22" s="5"/>
      <c r="D22" s="8">
        <v>1335.5918386305411</v>
      </c>
      <c r="E22" s="8">
        <v>70.990320991859704</v>
      </c>
      <c r="F22" s="8">
        <v>4082.111778315752</v>
      </c>
      <c r="G22" s="8">
        <v>943.58993493441994</v>
      </c>
      <c r="H22" s="8">
        <v>1428.1717625600181</v>
      </c>
      <c r="I22" s="8">
        <v>3017.4462057846699</v>
      </c>
      <c r="J22" s="8">
        <v>12624.044675229987</v>
      </c>
      <c r="K22" s="8">
        <f t="shared" si="0"/>
        <v>23501.946516447249</v>
      </c>
      <c r="L22" s="8"/>
      <c r="M22" s="8"/>
      <c r="N22" s="8"/>
      <c r="O22" s="8"/>
      <c r="P22" s="8"/>
      <c r="Q22" s="8"/>
      <c r="R22" s="8">
        <v>23501.946516447249</v>
      </c>
    </row>
    <row r="23" spans="1:18" x14ac:dyDescent="0.25">
      <c r="A23" s="5" t="s">
        <v>71</v>
      </c>
      <c r="B23" s="5"/>
      <c r="C23" s="5"/>
      <c r="D23" s="8">
        <v>503924.93539554795</v>
      </c>
      <c r="E23" s="8">
        <v>4993.5430255153597</v>
      </c>
      <c r="F23" s="8">
        <v>459044.96799918875</v>
      </c>
      <c r="G23" s="8">
        <v>11432.15803789721</v>
      </c>
      <c r="H23" s="8">
        <v>173742.41238371734</v>
      </c>
      <c r="I23" s="8">
        <v>699751.21518863004</v>
      </c>
      <c r="J23" s="8">
        <v>1103928.6421040688</v>
      </c>
      <c r="K23" s="8">
        <f t="shared" si="0"/>
        <v>2956817.8741345652</v>
      </c>
      <c r="L23" s="8"/>
      <c r="M23" s="8"/>
      <c r="N23" s="8"/>
      <c r="O23" s="8"/>
      <c r="P23" s="8"/>
      <c r="Q23" s="8"/>
      <c r="R23" s="8">
        <v>2956817.8741345652</v>
      </c>
    </row>
    <row r="33" spans="3:17" hidden="1" x14ac:dyDescent="0.25">
      <c r="C33" t="s">
        <v>28</v>
      </c>
      <c r="D33" s="13">
        <f>D11/D$16</f>
        <v>0.9849294095420551</v>
      </c>
      <c r="E33" s="13">
        <f t="shared" ref="E33:N33" si="1">E11/E$16</f>
        <v>0</v>
      </c>
      <c r="F33" s="13">
        <f t="shared" si="1"/>
        <v>0.41172121447181442</v>
      </c>
      <c r="G33" s="13">
        <f t="shared" si="1"/>
        <v>0</v>
      </c>
      <c r="H33" s="13">
        <f t="shared" si="1"/>
        <v>0</v>
      </c>
      <c r="I33" s="13">
        <f t="shared" si="1"/>
        <v>0</v>
      </c>
      <c r="J33" s="13">
        <f t="shared" si="1"/>
        <v>8.7414150254876683E-5</v>
      </c>
      <c r="K33" s="13">
        <f t="shared" si="1"/>
        <v>0.16906568633878807</v>
      </c>
      <c r="L33" s="13">
        <f t="shared" si="1"/>
        <v>0.17764656309252344</v>
      </c>
      <c r="M33" s="13"/>
      <c r="N33" s="13">
        <f t="shared" si="1"/>
        <v>0.29008554812895493</v>
      </c>
      <c r="O33" s="13"/>
      <c r="P33" s="13"/>
      <c r="Q33" s="13"/>
    </row>
    <row r="34" spans="3:17" hidden="1" x14ac:dyDescent="0.25">
      <c r="C34" t="s">
        <v>29</v>
      </c>
      <c r="D34" s="13">
        <f t="shared" ref="D34:N35" si="2">D12/D$16</f>
        <v>0</v>
      </c>
      <c r="E34" s="13">
        <f t="shared" si="2"/>
        <v>0</v>
      </c>
      <c r="F34" s="13">
        <f t="shared" si="2"/>
        <v>0.29709273380338408</v>
      </c>
      <c r="G34" s="13">
        <f t="shared" si="2"/>
        <v>2.6796026288191915E-2</v>
      </c>
      <c r="H34" s="13">
        <f t="shared" si="2"/>
        <v>0</v>
      </c>
      <c r="I34" s="13">
        <f t="shared" si="2"/>
        <v>3.747521908579095E-3</v>
      </c>
      <c r="J34" s="13">
        <f t="shared" si="2"/>
        <v>0.10294100532455014</v>
      </c>
      <c r="K34" s="13">
        <f t="shared" si="2"/>
        <v>0.13026243851713912</v>
      </c>
      <c r="L34" s="13">
        <f t="shared" si="2"/>
        <v>0.24048997137962683</v>
      </c>
      <c r="M34" s="13"/>
      <c r="N34" s="13">
        <f t="shared" si="2"/>
        <v>0.19153560947430934</v>
      </c>
      <c r="O34" s="13"/>
      <c r="P34" s="13"/>
      <c r="Q34" s="13"/>
    </row>
    <row r="35" spans="3:17" hidden="1" x14ac:dyDescent="0.25">
      <c r="C35" t="s">
        <v>30</v>
      </c>
      <c r="D35" s="13">
        <f t="shared" si="2"/>
        <v>1.5070590457944918E-2</v>
      </c>
      <c r="E35" s="13">
        <f t="shared" si="2"/>
        <v>1</v>
      </c>
      <c r="F35" s="13">
        <f t="shared" si="2"/>
        <v>0.2911860517248015</v>
      </c>
      <c r="G35" s="13">
        <f t="shared" si="2"/>
        <v>0.973203973711808</v>
      </c>
      <c r="H35" s="13">
        <f t="shared" si="2"/>
        <v>1</v>
      </c>
      <c r="I35" s="13">
        <f t="shared" si="2"/>
        <v>0.99625247809142092</v>
      </c>
      <c r="J35" s="13">
        <f t="shared" si="2"/>
        <v>0.89697158052519499</v>
      </c>
      <c r="K35" s="13">
        <f t="shared" si="2"/>
        <v>0.70067187514407292</v>
      </c>
      <c r="L35" s="13">
        <f t="shared" si="2"/>
        <v>0.58186346552784973</v>
      </c>
      <c r="M35" s="13"/>
      <c r="N35" s="13">
        <f t="shared" si="2"/>
        <v>0.51837884239673593</v>
      </c>
      <c r="O35" s="13"/>
      <c r="P35" s="13"/>
      <c r="Q35" s="13"/>
    </row>
    <row r="36" spans="3:17" hidden="1" x14ac:dyDescent="0.25"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3:17" hidden="1" x14ac:dyDescent="0.25"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3:17" hidden="1" x14ac:dyDescent="0.25"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3:17" hidden="1" x14ac:dyDescent="0.25">
      <c r="C39" t="s">
        <v>28</v>
      </c>
      <c r="D39" s="13">
        <f>D17/D$21</f>
        <v>0.4746981792356097</v>
      </c>
      <c r="E39" s="13">
        <f t="shared" ref="E39:Q39" si="3">E17/E$21</f>
        <v>1.996703883424302E-4</v>
      </c>
      <c r="F39" s="13">
        <f t="shared" si="3"/>
        <v>0.29741988901842531</v>
      </c>
      <c r="G39" s="13">
        <f t="shared" si="3"/>
        <v>5.7911286629133609E-4</v>
      </c>
      <c r="H39" s="13">
        <f t="shared" si="3"/>
        <v>2.4196095208862409E-3</v>
      </c>
      <c r="I39" s="13">
        <f t="shared" si="3"/>
        <v>8.2056668291882913E-4</v>
      </c>
      <c r="J39" s="13">
        <f t="shared" si="3"/>
        <v>0.1130273777630189</v>
      </c>
      <c r="K39" s="13">
        <f t="shared" si="3"/>
        <v>0.18568827416060904</v>
      </c>
      <c r="L39" s="13">
        <f t="shared" si="3"/>
        <v>0.14726665911405312</v>
      </c>
      <c r="M39" s="13"/>
      <c r="N39" s="13"/>
      <c r="O39" s="13"/>
      <c r="P39" s="13">
        <f t="shared" si="3"/>
        <v>0.28190745380652787</v>
      </c>
      <c r="Q39" s="13">
        <f t="shared" si="3"/>
        <v>3.2207386395163184E-2</v>
      </c>
    </row>
    <row r="40" spans="3:17" hidden="1" x14ac:dyDescent="0.25">
      <c r="C40" t="s">
        <v>29</v>
      </c>
      <c r="D40" s="13">
        <f t="shared" ref="D40:Q41" si="4">D18/D$21</f>
        <v>0.24499357176323303</v>
      </c>
      <c r="E40" s="13">
        <f t="shared" si="4"/>
        <v>2.0835907801795815E-2</v>
      </c>
      <c r="F40" s="13">
        <f t="shared" si="4"/>
        <v>0.3493361994621772</v>
      </c>
      <c r="G40" s="13">
        <f t="shared" si="4"/>
        <v>4.0991602017739895E-2</v>
      </c>
      <c r="H40" s="13">
        <f t="shared" si="4"/>
        <v>6.4744175275162699E-2</v>
      </c>
      <c r="I40" s="13">
        <f t="shared" si="4"/>
        <v>6.2517311184840996E-2</v>
      </c>
      <c r="J40" s="13">
        <f t="shared" si="4"/>
        <v>5.9541913824460918E-2</v>
      </c>
      <c r="K40" s="13">
        <f t="shared" si="4"/>
        <v>0.18672303431897713</v>
      </c>
      <c r="L40" s="13">
        <f t="shared" si="4"/>
        <v>0.36475105833973209</v>
      </c>
      <c r="M40" s="13"/>
      <c r="N40" s="13"/>
      <c r="O40" s="13"/>
      <c r="P40" s="13">
        <f t="shared" si="4"/>
        <v>0.15873181314132509</v>
      </c>
      <c r="Q40" s="13">
        <f t="shared" si="4"/>
        <v>-6.6188098553742597E-4</v>
      </c>
    </row>
    <row r="41" spans="3:17" hidden="1" x14ac:dyDescent="0.25">
      <c r="C41" t="s">
        <v>30</v>
      </c>
      <c r="D41" s="13">
        <f t="shared" si="4"/>
        <v>0.28030824900115714</v>
      </c>
      <c r="E41" s="13">
        <f t="shared" si="4"/>
        <v>0.97896442180986176</v>
      </c>
      <c r="F41" s="13">
        <f t="shared" si="4"/>
        <v>0.35324391151939749</v>
      </c>
      <c r="G41" s="13">
        <f t="shared" si="4"/>
        <v>0.95842928511596881</v>
      </c>
      <c r="H41" s="13">
        <f t="shared" si="4"/>
        <v>0.93283621520395099</v>
      </c>
      <c r="I41" s="13">
        <f t="shared" si="4"/>
        <v>0.9366621221322402</v>
      </c>
      <c r="J41" s="13">
        <f t="shared" si="4"/>
        <v>0.82743070841252009</v>
      </c>
      <c r="K41" s="13">
        <f t="shared" si="4"/>
        <v>0.62758869152041363</v>
      </c>
      <c r="L41" s="13">
        <f t="shared" si="4"/>
        <v>0.44468204737539607</v>
      </c>
      <c r="M41" s="13"/>
      <c r="N41" s="13"/>
      <c r="O41" s="13"/>
      <c r="P41" s="13">
        <f t="shared" si="4"/>
        <v>0.55766718962605</v>
      </c>
      <c r="Q41" s="13">
        <f t="shared" si="4"/>
        <v>0.96845449459037436</v>
      </c>
    </row>
  </sheetData>
  <hyperlinks>
    <hyperlink ref="K1" location="Contenido!A1" display="Contenido" xr:uid="{F065EB0D-11EB-4586-97B5-FD46643909AF}"/>
  </hyperlinks>
  <pageMargins left="0.7" right="0.7" top="0.75" bottom="0.75" header="0.3" footer="0.3"/>
  <pageSetup scale="4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58BC-E561-4E2D-84F5-F2E5677ADF90}">
  <sheetPr>
    <pageSetUpPr fitToPage="1"/>
  </sheetPr>
  <dimension ref="B1:P15"/>
  <sheetViews>
    <sheetView workbookViewId="0">
      <selection activeCell="M27" sqref="M27"/>
    </sheetView>
  </sheetViews>
  <sheetFormatPr defaultRowHeight="15" x14ac:dyDescent="0.25"/>
  <cols>
    <col min="1" max="1" width="3.7109375" customWidth="1"/>
    <col min="2" max="2" width="22.28515625" bestFit="1" customWidth="1"/>
  </cols>
  <sheetData>
    <row r="1" spans="2:16" ht="18.75" x14ac:dyDescent="0.3">
      <c r="B1" s="29" t="s">
        <v>114</v>
      </c>
      <c r="K1" s="28" t="s">
        <v>122</v>
      </c>
    </row>
    <row r="2" spans="2:16" ht="18.75" x14ac:dyDescent="0.3">
      <c r="B2" s="29" t="s">
        <v>123</v>
      </c>
    </row>
    <row r="3" spans="2:16" ht="18.75" x14ac:dyDescent="0.3">
      <c r="B3" s="31" t="s">
        <v>124</v>
      </c>
    </row>
    <row r="5" spans="2:16" x14ac:dyDescent="0.25">
      <c r="B5" s="35"/>
      <c r="C5" s="35" t="s">
        <v>97</v>
      </c>
      <c r="D5" s="35" t="s">
        <v>98</v>
      </c>
      <c r="E5" s="35" t="s">
        <v>96</v>
      </c>
      <c r="F5" s="35" t="s">
        <v>93</v>
      </c>
      <c r="G5" s="35" t="s">
        <v>94</v>
      </c>
      <c r="H5" s="35" t="s">
        <v>95</v>
      </c>
      <c r="I5" s="35" t="s">
        <v>101</v>
      </c>
      <c r="J5" s="35" t="s">
        <v>90</v>
      </c>
      <c r="K5" s="35" t="s">
        <v>92</v>
      </c>
      <c r="L5" s="35" t="s">
        <v>100</v>
      </c>
      <c r="M5" s="35" t="s">
        <v>99</v>
      </c>
      <c r="N5" s="35" t="s">
        <v>89</v>
      </c>
      <c r="O5" s="35" t="s">
        <v>91</v>
      </c>
      <c r="P5" s="35" t="s">
        <v>102</v>
      </c>
    </row>
    <row r="6" spans="2:16" x14ac:dyDescent="0.25">
      <c r="B6" s="35" t="s">
        <v>28</v>
      </c>
      <c r="C6" s="36">
        <f>HND!K33</f>
        <v>0.25137496195917719</v>
      </c>
      <c r="D6" s="36">
        <f>NIC!K33</f>
        <v>0.29055543039213888</v>
      </c>
      <c r="E6" s="36">
        <f>GTM!K32</f>
        <v>0.21572207032694302</v>
      </c>
      <c r="F6" s="36">
        <f>CRI!K32</f>
        <v>0.19482634618194675</v>
      </c>
      <c r="G6" s="36">
        <f>DOM!K34</f>
        <v>0.14756896875059314</v>
      </c>
      <c r="H6" s="36">
        <f>ECU!K32</f>
        <v>0.20638744753742386</v>
      </c>
      <c r="I6" s="36">
        <f>SLV!K33</f>
        <v>0.16906568633878807</v>
      </c>
      <c r="J6" s="36">
        <f>BRA!K29</f>
        <v>0.14512610730548933</v>
      </c>
      <c r="K6" s="36">
        <f>COL!K33</f>
        <v>0.11904183461779277</v>
      </c>
      <c r="L6" s="36">
        <f>PER!L32</f>
        <v>0.13756521711116587</v>
      </c>
      <c r="M6" s="36">
        <f>PAN!K33</f>
        <v>7.4291802118548911E-2</v>
      </c>
      <c r="N6" s="36">
        <f>ARG!K38</f>
        <v>0.15961160767454746</v>
      </c>
      <c r="O6" s="36">
        <f>CHL!L29</f>
        <v>0.12002705502151075</v>
      </c>
      <c r="P6" s="36">
        <f>AVERAGE(C6:O6)</f>
        <v>0.1716280411796974</v>
      </c>
    </row>
    <row r="7" spans="2:16" x14ac:dyDescent="0.25">
      <c r="B7" s="35" t="s">
        <v>29</v>
      </c>
      <c r="C7" s="36">
        <f>HND!K34</f>
        <v>0.20434422256423551</v>
      </c>
      <c r="D7" s="36">
        <f>NIC!K34</f>
        <v>0.10406536681640381</v>
      </c>
      <c r="E7" s="36">
        <f>GTM!K33</f>
        <v>9.8319599406740302E-2</v>
      </c>
      <c r="F7" s="36">
        <f>CRI!K33</f>
        <v>0.11327527641739261</v>
      </c>
      <c r="G7" s="36">
        <f>DOM!K35</f>
        <v>0.1537999189738066</v>
      </c>
      <c r="H7" s="36">
        <f>ECU!K33</f>
        <v>9.4171284336483571E-2</v>
      </c>
      <c r="I7" s="36">
        <f>SLV!K34</f>
        <v>0.13026243851713912</v>
      </c>
      <c r="J7" s="36">
        <f>BRA!K30</f>
        <v>8.119943280646727E-2</v>
      </c>
      <c r="K7" s="36">
        <f>COL!K34</f>
        <v>0.10675488128247816</v>
      </c>
      <c r="L7" s="36">
        <f>PER!L33</f>
        <v>8.7276965131094647E-2</v>
      </c>
      <c r="M7" s="36">
        <f>PAN!K34</f>
        <v>6.3954004000082568E-2</v>
      </c>
      <c r="N7" s="36">
        <f>ARG!K39</f>
        <v>4.6237817170051515E-2</v>
      </c>
      <c r="O7" s="36">
        <f>CHL!L30</f>
        <v>6.4522798989110897E-2</v>
      </c>
      <c r="P7" s="36">
        <f t="shared" ref="P7:P8" si="0">AVERAGE(C7:O7)</f>
        <v>0.10370646203165282</v>
      </c>
    </row>
    <row r="8" spans="2:16" x14ac:dyDescent="0.25">
      <c r="B8" s="35" t="s">
        <v>30</v>
      </c>
      <c r="C8" s="36">
        <f>HND!K35</f>
        <v>0.54428081547658713</v>
      </c>
      <c r="D8" s="36">
        <f>NIC!K35</f>
        <v>0.60537920279145729</v>
      </c>
      <c r="E8" s="36">
        <f>GTM!K34</f>
        <v>0.68595833026631681</v>
      </c>
      <c r="F8" s="36">
        <f>CRI!K34</f>
        <v>0.69189837740066062</v>
      </c>
      <c r="G8" s="36">
        <f>DOM!K36</f>
        <v>0.69863111227560015</v>
      </c>
      <c r="H8" s="36">
        <f>ECU!K34</f>
        <v>0.69944126812609264</v>
      </c>
      <c r="I8" s="36">
        <f>SLV!K35</f>
        <v>0.70067187514407292</v>
      </c>
      <c r="J8" s="36">
        <f>BRA!K31</f>
        <v>0.7736744598880434</v>
      </c>
      <c r="K8" s="36">
        <f>COL!K35</f>
        <v>0.77420328409972905</v>
      </c>
      <c r="L8" s="36">
        <f>PER!L34</f>
        <v>0.77515781775773951</v>
      </c>
      <c r="M8" s="36">
        <f>PAN!K35</f>
        <v>0.86175419388136842</v>
      </c>
      <c r="N8" s="36">
        <f>ARG!K40</f>
        <v>0.79415057515540111</v>
      </c>
      <c r="O8" s="36">
        <f>CHL!L31</f>
        <v>0.81545014598937826</v>
      </c>
      <c r="P8" s="36">
        <f t="shared" si="0"/>
        <v>0.72466549678864978</v>
      </c>
    </row>
    <row r="9" spans="2:16" x14ac:dyDescent="0.25">
      <c r="B9" s="34"/>
      <c r="C9" s="36">
        <f t="shared" ref="C9:O9" si="1">SUM(C6:C8)</f>
        <v>0.99999999999999978</v>
      </c>
      <c r="D9" s="36">
        <f t="shared" si="1"/>
        <v>1</v>
      </c>
      <c r="E9" s="36">
        <f t="shared" si="1"/>
        <v>1</v>
      </c>
      <c r="F9" s="36">
        <f t="shared" si="1"/>
        <v>1</v>
      </c>
      <c r="G9" s="36">
        <f t="shared" si="1"/>
        <v>0.99999999999999989</v>
      </c>
      <c r="H9" s="36">
        <f t="shared" si="1"/>
        <v>1</v>
      </c>
      <c r="I9" s="36">
        <f t="shared" si="1"/>
        <v>1</v>
      </c>
      <c r="J9" s="36">
        <f t="shared" si="1"/>
        <v>1</v>
      </c>
      <c r="K9" s="36">
        <f t="shared" si="1"/>
        <v>1</v>
      </c>
      <c r="L9" s="36">
        <f t="shared" si="1"/>
        <v>1</v>
      </c>
      <c r="M9" s="36">
        <f t="shared" si="1"/>
        <v>0.99999999999999989</v>
      </c>
      <c r="N9" s="36">
        <f t="shared" si="1"/>
        <v>1</v>
      </c>
      <c r="O9" s="36">
        <f t="shared" si="1"/>
        <v>0.99999999999999989</v>
      </c>
      <c r="P9" s="36">
        <f t="shared" ref="P9" si="2">SUM(P6:P8)</f>
        <v>1</v>
      </c>
    </row>
    <row r="11" spans="2:16" x14ac:dyDescent="0.25">
      <c r="B11" s="35"/>
      <c r="C11" s="35" t="s">
        <v>97</v>
      </c>
      <c r="D11" s="35" t="s">
        <v>98</v>
      </c>
      <c r="E11" s="35" t="s">
        <v>96</v>
      </c>
      <c r="F11" s="35" t="s">
        <v>93</v>
      </c>
      <c r="G11" s="35" t="s">
        <v>94</v>
      </c>
      <c r="H11" s="35" t="s">
        <v>95</v>
      </c>
      <c r="I11" s="35" t="s">
        <v>101</v>
      </c>
      <c r="J11" s="35" t="s">
        <v>90</v>
      </c>
      <c r="K11" s="35" t="s">
        <v>92</v>
      </c>
      <c r="L11" s="35" t="s">
        <v>100</v>
      </c>
      <c r="M11" s="35" t="s">
        <v>99</v>
      </c>
      <c r="N11" s="35" t="s">
        <v>89</v>
      </c>
      <c r="O11" s="35" t="s">
        <v>91</v>
      </c>
      <c r="P11" s="35" t="s">
        <v>102</v>
      </c>
    </row>
    <row r="12" spans="2:16" x14ac:dyDescent="0.25">
      <c r="B12" s="35" t="s">
        <v>28</v>
      </c>
      <c r="C12" s="37">
        <f>C6*100</f>
        <v>25.13749619591772</v>
      </c>
      <c r="D12" s="37">
        <f t="shared" ref="D12:P12" si="3">D6*100</f>
        <v>29.055543039213887</v>
      </c>
      <c r="E12" s="37">
        <f t="shared" si="3"/>
        <v>21.572207032694301</v>
      </c>
      <c r="F12" s="37">
        <f t="shared" si="3"/>
        <v>19.482634618194673</v>
      </c>
      <c r="G12" s="37">
        <f t="shared" si="3"/>
        <v>14.756896875059313</v>
      </c>
      <c r="H12" s="37">
        <f t="shared" si="3"/>
        <v>20.638744753742387</v>
      </c>
      <c r="I12" s="37">
        <f t="shared" si="3"/>
        <v>16.906568633878809</v>
      </c>
      <c r="J12" s="37">
        <f t="shared" si="3"/>
        <v>14.512610730548934</v>
      </c>
      <c r="K12" s="37">
        <f t="shared" si="3"/>
        <v>11.904183461779278</v>
      </c>
      <c r="L12" s="37">
        <f t="shared" si="3"/>
        <v>13.756521711116587</v>
      </c>
      <c r="M12" s="37">
        <f t="shared" si="3"/>
        <v>7.4291802118548915</v>
      </c>
      <c r="N12" s="37">
        <f t="shared" si="3"/>
        <v>15.961160767454746</v>
      </c>
      <c r="O12" s="37">
        <f t="shared" si="3"/>
        <v>12.002705502151075</v>
      </c>
      <c r="P12" s="37">
        <f t="shared" si="3"/>
        <v>17.162804117969742</v>
      </c>
    </row>
    <row r="13" spans="2:16" x14ac:dyDescent="0.25">
      <c r="B13" s="35" t="s">
        <v>29</v>
      </c>
      <c r="C13" s="37">
        <f t="shared" ref="C13:P13" si="4">C7*100</f>
        <v>20.434422256423552</v>
      </c>
      <c r="D13" s="37">
        <f t="shared" si="4"/>
        <v>10.406536681640381</v>
      </c>
      <c r="E13" s="37">
        <f t="shared" si="4"/>
        <v>9.8319599406740306</v>
      </c>
      <c r="F13" s="37">
        <f t="shared" si="4"/>
        <v>11.327527641739261</v>
      </c>
      <c r="G13" s="37">
        <f t="shared" si="4"/>
        <v>15.379991897380659</v>
      </c>
      <c r="H13" s="37">
        <f t="shared" si="4"/>
        <v>9.4171284336483563</v>
      </c>
      <c r="I13" s="37">
        <f t="shared" si="4"/>
        <v>13.026243851713911</v>
      </c>
      <c r="J13" s="37">
        <f t="shared" si="4"/>
        <v>8.1199432806467264</v>
      </c>
      <c r="K13" s="37">
        <f t="shared" si="4"/>
        <v>10.675488128247816</v>
      </c>
      <c r="L13" s="37">
        <f t="shared" si="4"/>
        <v>8.7276965131094641</v>
      </c>
      <c r="M13" s="37">
        <f t="shared" si="4"/>
        <v>6.3954004000082572</v>
      </c>
      <c r="N13" s="37">
        <f t="shared" si="4"/>
        <v>4.6237817170051514</v>
      </c>
      <c r="O13" s="37">
        <f t="shared" si="4"/>
        <v>6.4522798989110894</v>
      </c>
      <c r="P13" s="37">
        <f t="shared" si="4"/>
        <v>10.370646203165283</v>
      </c>
    </row>
    <row r="14" spans="2:16" x14ac:dyDescent="0.25">
      <c r="B14" s="35" t="s">
        <v>30</v>
      </c>
      <c r="C14" s="37">
        <f t="shared" ref="C14:P14" si="5">C8*100</f>
        <v>54.428081547658714</v>
      </c>
      <c r="D14" s="37">
        <f t="shared" si="5"/>
        <v>60.53792027914573</v>
      </c>
      <c r="E14" s="37">
        <f t="shared" si="5"/>
        <v>68.595833026631681</v>
      </c>
      <c r="F14" s="37">
        <f t="shared" si="5"/>
        <v>69.189837740066068</v>
      </c>
      <c r="G14" s="37">
        <f t="shared" si="5"/>
        <v>69.863111227560012</v>
      </c>
      <c r="H14" s="37">
        <f t="shared" si="5"/>
        <v>69.944126812609269</v>
      </c>
      <c r="I14" s="37">
        <f t="shared" si="5"/>
        <v>70.067187514407294</v>
      </c>
      <c r="J14" s="37">
        <f t="shared" si="5"/>
        <v>77.367445988804334</v>
      </c>
      <c r="K14" s="37">
        <f t="shared" si="5"/>
        <v>77.42032840997291</v>
      </c>
      <c r="L14" s="37">
        <f t="shared" si="5"/>
        <v>77.515781775773945</v>
      </c>
      <c r="M14" s="37">
        <f t="shared" si="5"/>
        <v>86.175419388136845</v>
      </c>
      <c r="N14" s="37">
        <f t="shared" si="5"/>
        <v>79.415057515540113</v>
      </c>
      <c r="O14" s="37">
        <f t="shared" si="5"/>
        <v>81.545014598937826</v>
      </c>
      <c r="P14" s="37">
        <f t="shared" si="5"/>
        <v>72.466549678864979</v>
      </c>
    </row>
    <row r="15" spans="2:16" x14ac:dyDescent="0.25">
      <c r="B15" s="34"/>
      <c r="C15" s="37">
        <f t="shared" ref="C15:P15" si="6">C9*100</f>
        <v>99.999999999999972</v>
      </c>
      <c r="D15" s="37">
        <f t="shared" si="6"/>
        <v>100</v>
      </c>
      <c r="E15" s="37">
        <f t="shared" si="6"/>
        <v>100</v>
      </c>
      <c r="F15" s="37">
        <f t="shared" si="6"/>
        <v>100</v>
      </c>
      <c r="G15" s="37">
        <f t="shared" si="6"/>
        <v>99.999999999999986</v>
      </c>
      <c r="H15" s="37">
        <f t="shared" si="6"/>
        <v>100</v>
      </c>
      <c r="I15" s="37">
        <f t="shared" si="6"/>
        <v>100</v>
      </c>
      <c r="J15" s="37">
        <f t="shared" si="6"/>
        <v>100</v>
      </c>
      <c r="K15" s="37">
        <f t="shared" si="6"/>
        <v>100</v>
      </c>
      <c r="L15" s="37">
        <f t="shared" si="6"/>
        <v>100</v>
      </c>
      <c r="M15" s="37">
        <f t="shared" si="6"/>
        <v>99.999999999999986</v>
      </c>
      <c r="N15" s="37">
        <f t="shared" si="6"/>
        <v>100</v>
      </c>
      <c r="O15" s="37">
        <f t="shared" si="6"/>
        <v>99.999999999999986</v>
      </c>
      <c r="P15" s="37">
        <f t="shared" si="6"/>
        <v>100</v>
      </c>
    </row>
  </sheetData>
  <sortState xmlns:xlrd2="http://schemas.microsoft.com/office/spreadsheetml/2017/richdata2" ref="T6:T18">
    <sortCondition ref="T6:T18"/>
  </sortState>
  <hyperlinks>
    <hyperlink ref="K1" location="Contenido!A1" display="Contenido" xr:uid="{D8E0665D-5BA0-43CA-A058-76E3C79AD34A}"/>
  </hyperlinks>
  <pageMargins left="0.7" right="0.7" top="0.75" bottom="0.75" header="0.3" footer="0.3"/>
  <pageSetup scale="7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E13E-B74B-436F-A809-22D573065D2A}">
  <sheetPr>
    <pageSetUpPr fitToPage="1"/>
  </sheetPr>
  <dimension ref="A1:P15"/>
  <sheetViews>
    <sheetView workbookViewId="0">
      <selection activeCell="C12" sqref="C12:P15"/>
    </sheetView>
  </sheetViews>
  <sheetFormatPr defaultRowHeight="15" x14ac:dyDescent="0.25"/>
  <cols>
    <col min="1" max="1" width="3.7109375" customWidth="1"/>
    <col min="2" max="2" width="22.28515625" bestFit="1" customWidth="1"/>
  </cols>
  <sheetData>
    <row r="1" spans="1:16" ht="18.75" x14ac:dyDescent="0.3">
      <c r="B1" s="29" t="s">
        <v>114</v>
      </c>
      <c r="K1" s="28" t="s">
        <v>122</v>
      </c>
    </row>
    <row r="2" spans="1:16" ht="18.75" x14ac:dyDescent="0.3">
      <c r="B2" s="29" t="s">
        <v>125</v>
      </c>
    </row>
    <row r="3" spans="1:16" ht="18.75" x14ac:dyDescent="0.3">
      <c r="B3" s="31" t="s">
        <v>124</v>
      </c>
    </row>
    <row r="4" spans="1:16" ht="18.75" x14ac:dyDescent="0.3">
      <c r="A4" s="31"/>
    </row>
    <row r="5" spans="1:16" x14ac:dyDescent="0.25">
      <c r="B5" s="35"/>
      <c r="C5" s="35" t="s">
        <v>97</v>
      </c>
      <c r="D5" s="35" t="s">
        <v>98</v>
      </c>
      <c r="E5" s="35" t="s">
        <v>101</v>
      </c>
      <c r="F5" s="35" t="s">
        <v>99</v>
      </c>
      <c r="G5" s="35" t="s">
        <v>96</v>
      </c>
      <c r="H5" s="35" t="s">
        <v>93</v>
      </c>
      <c r="I5" s="35" t="s">
        <v>92</v>
      </c>
      <c r="J5" s="35" t="s">
        <v>100</v>
      </c>
      <c r="K5" s="35" t="s">
        <v>94</v>
      </c>
      <c r="L5" s="35" t="s">
        <v>90</v>
      </c>
      <c r="M5" s="35" t="s">
        <v>95</v>
      </c>
      <c r="N5" s="35" t="s">
        <v>91</v>
      </c>
      <c r="O5" s="35" t="s">
        <v>89</v>
      </c>
      <c r="P5" s="35" t="s">
        <v>102</v>
      </c>
    </row>
    <row r="6" spans="1:16" x14ac:dyDescent="0.25">
      <c r="B6" s="35" t="s">
        <v>28</v>
      </c>
      <c r="C6" s="36">
        <f>HND!L33</f>
        <v>0.1215697035500555</v>
      </c>
      <c r="D6" s="36">
        <f>NIC!L33</f>
        <v>0.14814823486804313</v>
      </c>
      <c r="E6" s="36">
        <f>SLV!L33</f>
        <v>0.17764656309252344</v>
      </c>
      <c r="F6" s="36">
        <f>PAN!L33</f>
        <v>8.0342900345944865E-2</v>
      </c>
      <c r="G6" s="36">
        <f>GTM!L32</f>
        <v>0.17227021709765081</v>
      </c>
      <c r="H6" s="36">
        <f>CRI!L32</f>
        <v>0.27093430196197221</v>
      </c>
      <c r="I6" s="36">
        <f>COL!L33</f>
        <v>9.7350255849208409E-2</v>
      </c>
      <c r="J6" s="36">
        <f>PER!M32</f>
        <v>0.11473124989065717</v>
      </c>
      <c r="K6" s="36">
        <f>DOM!L34</f>
        <v>0.13088143681848649</v>
      </c>
      <c r="L6" s="36">
        <f>BRA!L29</f>
        <v>5.9610576315773642E-2</v>
      </c>
      <c r="M6" s="36">
        <f>ECU!L32</f>
        <v>9.8610748504064427E-2</v>
      </c>
      <c r="N6" s="36">
        <f>CHL!M29</f>
        <v>9.0449297850929145E-2</v>
      </c>
      <c r="O6" s="36">
        <f>ARG!L38</f>
        <v>5.9571573505381788E-2</v>
      </c>
      <c r="P6" s="36">
        <f>AVERAGE(C6:O6)</f>
        <v>0.12477823535774549</v>
      </c>
    </row>
    <row r="7" spans="1:16" x14ac:dyDescent="0.25">
      <c r="B7" s="35" t="s">
        <v>29</v>
      </c>
      <c r="C7" s="36">
        <f>HND!L34</f>
        <v>0.40115545440430994</v>
      </c>
      <c r="D7" s="36">
        <f>NIC!L34</f>
        <v>0.32176525562898761</v>
      </c>
      <c r="E7" s="36">
        <f>SLV!L34</f>
        <v>0.24048997137962683</v>
      </c>
      <c r="F7" s="36">
        <f>PAN!L34</f>
        <v>0.29468849316369033</v>
      </c>
      <c r="G7" s="36">
        <f>GTM!L33</f>
        <v>0.19212747104716074</v>
      </c>
      <c r="H7" s="36">
        <f>CRI!L33</f>
        <v>6.5214339235161525E-2</v>
      </c>
      <c r="I7" s="36">
        <f>COL!L34</f>
        <v>0.17668558757009484</v>
      </c>
      <c r="J7" s="36">
        <f>PER!M33</f>
        <v>0.15649146542725348</v>
      </c>
      <c r="K7" s="36">
        <f>DOM!L35</f>
        <v>0.11777270382104196</v>
      </c>
      <c r="L7" s="36">
        <f>BRA!L30</f>
        <v>0.16791014101620694</v>
      </c>
      <c r="M7" s="36">
        <f>ECU!L33</f>
        <v>0.12306355318987214</v>
      </c>
      <c r="N7" s="36">
        <f>CHL!M30</f>
        <v>0.12929330076384721</v>
      </c>
      <c r="O7" s="36">
        <f>ARG!L39</f>
        <v>0.14687229948964112</v>
      </c>
      <c r="P7" s="36">
        <f t="shared" ref="P7:P8" si="0">AVERAGE(C7:O7)</f>
        <v>0.19488692585668421</v>
      </c>
    </row>
    <row r="8" spans="1:16" x14ac:dyDescent="0.25">
      <c r="B8" s="35" t="s">
        <v>30</v>
      </c>
      <c r="C8" s="36">
        <f>HND!L35</f>
        <v>0.47727484204563453</v>
      </c>
      <c r="D8" s="36">
        <f>NIC!L35</f>
        <v>0.53008650950296921</v>
      </c>
      <c r="E8" s="36">
        <f>SLV!L35</f>
        <v>0.58186346552784973</v>
      </c>
      <c r="F8" s="36">
        <f>PAN!L35</f>
        <v>0.6249686064903649</v>
      </c>
      <c r="G8" s="36">
        <f>GTM!L34</f>
        <v>0.63560231185518845</v>
      </c>
      <c r="H8" s="36">
        <f>CRI!L34</f>
        <v>0.66385135880286628</v>
      </c>
      <c r="I8" s="36">
        <f>COL!L35</f>
        <v>0.7259641565806968</v>
      </c>
      <c r="J8" s="36">
        <f>PER!M34</f>
        <v>0.72877728468208935</v>
      </c>
      <c r="K8" s="36">
        <f>DOM!L36</f>
        <v>0.75134585936047149</v>
      </c>
      <c r="L8" s="36">
        <f>BRA!L31</f>
        <v>0.77247928266801946</v>
      </c>
      <c r="M8" s="36">
        <f>ECU!L34</f>
        <v>0.77832569830606346</v>
      </c>
      <c r="N8" s="36">
        <f>CHL!M31</f>
        <v>0.7802574013852237</v>
      </c>
      <c r="O8" s="36">
        <f>ARG!L40</f>
        <v>0.79355612700497713</v>
      </c>
      <c r="P8" s="36">
        <f t="shared" si="0"/>
        <v>0.68033483878557044</v>
      </c>
    </row>
    <row r="9" spans="1:16" x14ac:dyDescent="0.25">
      <c r="B9" s="34"/>
      <c r="C9" s="36">
        <f>SUM(C6:C8)</f>
        <v>1</v>
      </c>
      <c r="D9" s="36">
        <f t="shared" ref="D9:P9" si="1">SUM(D6:D8)</f>
        <v>1</v>
      </c>
      <c r="E9" s="36">
        <f t="shared" si="1"/>
        <v>1</v>
      </c>
      <c r="F9" s="36">
        <f t="shared" si="1"/>
        <v>1</v>
      </c>
      <c r="G9" s="36">
        <f t="shared" si="1"/>
        <v>1</v>
      </c>
      <c r="H9" s="36">
        <f t="shared" si="1"/>
        <v>1</v>
      </c>
      <c r="I9" s="36">
        <f t="shared" si="1"/>
        <v>1</v>
      </c>
      <c r="J9" s="36">
        <f t="shared" si="1"/>
        <v>1</v>
      </c>
      <c r="K9" s="36">
        <f t="shared" si="1"/>
        <v>1</v>
      </c>
      <c r="L9" s="36">
        <f t="shared" si="1"/>
        <v>1</v>
      </c>
      <c r="M9" s="36">
        <f t="shared" si="1"/>
        <v>1</v>
      </c>
      <c r="N9" s="36">
        <f t="shared" si="1"/>
        <v>1</v>
      </c>
      <c r="O9" s="36">
        <f t="shared" si="1"/>
        <v>1</v>
      </c>
      <c r="P9" s="36">
        <f t="shared" si="1"/>
        <v>1</v>
      </c>
    </row>
    <row r="11" spans="1:16" x14ac:dyDescent="0.25">
      <c r="B11" s="35"/>
      <c r="C11" s="35" t="s">
        <v>97</v>
      </c>
      <c r="D11" s="35" t="s">
        <v>98</v>
      </c>
      <c r="E11" s="35" t="s">
        <v>101</v>
      </c>
      <c r="F11" s="35" t="s">
        <v>99</v>
      </c>
      <c r="G11" s="35" t="s">
        <v>96</v>
      </c>
      <c r="H11" s="35" t="s">
        <v>93</v>
      </c>
      <c r="I11" s="35" t="s">
        <v>92</v>
      </c>
      <c r="J11" s="35" t="s">
        <v>100</v>
      </c>
      <c r="K11" s="35" t="s">
        <v>94</v>
      </c>
      <c r="L11" s="35" t="s">
        <v>90</v>
      </c>
      <c r="M11" s="35" t="s">
        <v>95</v>
      </c>
      <c r="N11" s="35" t="s">
        <v>91</v>
      </c>
      <c r="O11" s="35" t="s">
        <v>89</v>
      </c>
      <c r="P11" s="35" t="s">
        <v>102</v>
      </c>
    </row>
    <row r="12" spans="1:16" x14ac:dyDescent="0.25">
      <c r="B12" s="35" t="s">
        <v>28</v>
      </c>
      <c r="C12" s="37">
        <f>C6*100</f>
        <v>12.15697035500555</v>
      </c>
      <c r="D12" s="37">
        <f t="shared" ref="D12:P12" si="2">D6*100</f>
        <v>14.814823486804313</v>
      </c>
      <c r="E12" s="37">
        <f t="shared" si="2"/>
        <v>17.764656309252345</v>
      </c>
      <c r="F12" s="37">
        <f t="shared" si="2"/>
        <v>8.0342900345944859</v>
      </c>
      <c r="G12" s="37">
        <f t="shared" si="2"/>
        <v>17.227021709765079</v>
      </c>
      <c r="H12" s="37">
        <f t="shared" si="2"/>
        <v>27.093430196197222</v>
      </c>
      <c r="I12" s="37">
        <f t="shared" si="2"/>
        <v>9.7350255849208409</v>
      </c>
      <c r="J12" s="37">
        <f t="shared" si="2"/>
        <v>11.473124989065717</v>
      </c>
      <c r="K12" s="37">
        <f t="shared" si="2"/>
        <v>13.088143681848649</v>
      </c>
      <c r="L12" s="37">
        <f t="shared" si="2"/>
        <v>5.961057631577364</v>
      </c>
      <c r="M12" s="37">
        <f t="shared" si="2"/>
        <v>9.8610748504064425</v>
      </c>
      <c r="N12" s="37">
        <f t="shared" si="2"/>
        <v>9.0449297850929149</v>
      </c>
      <c r="O12" s="37">
        <f t="shared" si="2"/>
        <v>5.9571573505381785</v>
      </c>
      <c r="P12" s="37">
        <f t="shared" si="2"/>
        <v>12.477823535774549</v>
      </c>
    </row>
    <row r="13" spans="1:16" x14ac:dyDescent="0.25">
      <c r="B13" s="35" t="s">
        <v>29</v>
      </c>
      <c r="C13" s="37">
        <f t="shared" ref="C13:P13" si="3">C7*100</f>
        <v>40.115545440430992</v>
      </c>
      <c r="D13" s="37">
        <f t="shared" si="3"/>
        <v>32.17652556289876</v>
      </c>
      <c r="E13" s="37">
        <f t="shared" si="3"/>
        <v>24.048997137962683</v>
      </c>
      <c r="F13" s="37">
        <f t="shared" si="3"/>
        <v>29.468849316369035</v>
      </c>
      <c r="G13" s="37">
        <f t="shared" si="3"/>
        <v>19.212747104716072</v>
      </c>
      <c r="H13" s="37">
        <f t="shared" si="3"/>
        <v>6.5214339235161525</v>
      </c>
      <c r="I13" s="37">
        <f t="shared" si="3"/>
        <v>17.668558757009485</v>
      </c>
      <c r="J13" s="37">
        <f t="shared" si="3"/>
        <v>15.649146542725347</v>
      </c>
      <c r="K13" s="37">
        <f t="shared" si="3"/>
        <v>11.777270382104197</v>
      </c>
      <c r="L13" s="37">
        <f t="shared" si="3"/>
        <v>16.791014101620693</v>
      </c>
      <c r="M13" s="37">
        <f t="shared" si="3"/>
        <v>12.306355318987213</v>
      </c>
      <c r="N13" s="37">
        <f t="shared" si="3"/>
        <v>12.929330076384721</v>
      </c>
      <c r="O13" s="37">
        <f t="shared" si="3"/>
        <v>14.687229948964111</v>
      </c>
      <c r="P13" s="37">
        <f t="shared" si="3"/>
        <v>19.488692585668421</v>
      </c>
    </row>
    <row r="14" spans="1:16" x14ac:dyDescent="0.25">
      <c r="B14" s="35" t="s">
        <v>30</v>
      </c>
      <c r="C14" s="37">
        <f t="shared" ref="C14:P14" si="4">C8*100</f>
        <v>47.727484204563453</v>
      </c>
      <c r="D14" s="37">
        <f t="shared" si="4"/>
        <v>53.008650950296918</v>
      </c>
      <c r="E14" s="37">
        <f t="shared" si="4"/>
        <v>58.186346552784975</v>
      </c>
      <c r="F14" s="37">
        <f t="shared" si="4"/>
        <v>62.496860649036492</v>
      </c>
      <c r="G14" s="37">
        <f t="shared" si="4"/>
        <v>63.560231185518845</v>
      </c>
      <c r="H14" s="37">
        <f t="shared" si="4"/>
        <v>66.385135880286626</v>
      </c>
      <c r="I14" s="37">
        <f t="shared" si="4"/>
        <v>72.596415658069674</v>
      </c>
      <c r="J14" s="37">
        <f t="shared" si="4"/>
        <v>72.877728468208929</v>
      </c>
      <c r="K14" s="37">
        <f t="shared" si="4"/>
        <v>75.134585936047145</v>
      </c>
      <c r="L14" s="37">
        <f t="shared" si="4"/>
        <v>77.247928266801949</v>
      </c>
      <c r="M14" s="37">
        <f t="shared" si="4"/>
        <v>77.832569830606346</v>
      </c>
      <c r="N14" s="37">
        <f t="shared" si="4"/>
        <v>78.025740138522366</v>
      </c>
      <c r="O14" s="37">
        <f t="shared" si="4"/>
        <v>79.355612700497716</v>
      </c>
      <c r="P14" s="37">
        <f t="shared" si="4"/>
        <v>68.03348387855705</v>
      </c>
    </row>
    <row r="15" spans="1:16" x14ac:dyDescent="0.25">
      <c r="B15" s="34"/>
      <c r="C15" s="37">
        <f t="shared" ref="C15:P15" si="5">C9*100</f>
        <v>100</v>
      </c>
      <c r="D15" s="37">
        <f t="shared" si="5"/>
        <v>100</v>
      </c>
      <c r="E15" s="37">
        <f t="shared" si="5"/>
        <v>100</v>
      </c>
      <c r="F15" s="37">
        <f t="shared" si="5"/>
        <v>100</v>
      </c>
      <c r="G15" s="37">
        <f t="shared" si="5"/>
        <v>100</v>
      </c>
      <c r="H15" s="37">
        <f t="shared" si="5"/>
        <v>100</v>
      </c>
      <c r="I15" s="37">
        <f t="shared" si="5"/>
        <v>100</v>
      </c>
      <c r="J15" s="37">
        <f t="shared" si="5"/>
        <v>100</v>
      </c>
      <c r="K15" s="37">
        <f t="shared" si="5"/>
        <v>100</v>
      </c>
      <c r="L15" s="37">
        <f t="shared" si="5"/>
        <v>100</v>
      </c>
      <c r="M15" s="37">
        <f t="shared" si="5"/>
        <v>100</v>
      </c>
      <c r="N15" s="37">
        <f t="shared" si="5"/>
        <v>100</v>
      </c>
      <c r="O15" s="37">
        <f t="shared" si="5"/>
        <v>100</v>
      </c>
      <c r="P15" s="37">
        <f t="shared" si="5"/>
        <v>100</v>
      </c>
    </row>
  </sheetData>
  <sortState xmlns:xlrd2="http://schemas.microsoft.com/office/spreadsheetml/2017/richdata2" columnSort="1" ref="C5:O8">
    <sortCondition ref="C8:O8"/>
  </sortState>
  <hyperlinks>
    <hyperlink ref="K1" location="Contenido!A1" display="Contenido" xr:uid="{91B2B3E5-CF4E-486E-A3BA-CA5A99A02F08}"/>
  </hyperlinks>
  <pageMargins left="0.7" right="0.7" top="0.75" bottom="0.75" header="0.3" footer="0.3"/>
  <pageSetup scale="7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D740-673D-40C8-8E0F-5CB28BC29193}">
  <sheetPr>
    <pageSetUpPr fitToPage="1"/>
  </sheetPr>
  <dimension ref="A1:P15"/>
  <sheetViews>
    <sheetView topLeftCell="A9" workbookViewId="0">
      <selection activeCell="N20" sqref="N20"/>
    </sheetView>
  </sheetViews>
  <sheetFormatPr defaultRowHeight="15" x14ac:dyDescent="0.25"/>
  <cols>
    <col min="1" max="1" width="3.7109375" customWidth="1"/>
    <col min="2" max="2" width="22.28515625" bestFit="1" customWidth="1"/>
  </cols>
  <sheetData>
    <row r="1" spans="1:16" ht="18.75" x14ac:dyDescent="0.3">
      <c r="B1" s="29" t="s">
        <v>114</v>
      </c>
      <c r="K1" s="28" t="s">
        <v>122</v>
      </c>
    </row>
    <row r="2" spans="1:16" ht="18.75" x14ac:dyDescent="0.3">
      <c r="B2" s="29" t="s">
        <v>128</v>
      </c>
    </row>
    <row r="3" spans="1:16" ht="18.75" x14ac:dyDescent="0.3">
      <c r="B3" s="31" t="s">
        <v>124</v>
      </c>
    </row>
    <row r="4" spans="1:16" ht="18.75" x14ac:dyDescent="0.3">
      <c r="A4" s="31"/>
    </row>
    <row r="5" spans="1:16" x14ac:dyDescent="0.25">
      <c r="B5" s="35"/>
      <c r="C5" s="35" t="s">
        <v>101</v>
      </c>
      <c r="D5" s="35" t="s">
        <v>94</v>
      </c>
      <c r="E5" s="35" t="s">
        <v>98</v>
      </c>
      <c r="F5" s="35" t="s">
        <v>96</v>
      </c>
      <c r="G5" s="35" t="s">
        <v>100</v>
      </c>
      <c r="H5" s="35" t="s">
        <v>97</v>
      </c>
      <c r="I5" s="35" t="s">
        <v>91</v>
      </c>
      <c r="J5" s="35" t="s">
        <v>89</v>
      </c>
      <c r="K5" s="35" t="s">
        <v>99</v>
      </c>
      <c r="L5" s="35" t="s">
        <v>90</v>
      </c>
      <c r="M5" s="35" t="s">
        <v>93</v>
      </c>
      <c r="N5" s="35" t="s">
        <v>92</v>
      </c>
      <c r="O5" s="35" t="s">
        <v>95</v>
      </c>
      <c r="P5" s="35" t="s">
        <v>102</v>
      </c>
    </row>
    <row r="6" spans="1:16" x14ac:dyDescent="0.25">
      <c r="B6" s="35" t="s">
        <v>28</v>
      </c>
      <c r="C6" s="36">
        <f>SLV!N33</f>
        <v>0.29008554812895493</v>
      </c>
      <c r="D6" s="36">
        <f>DOM!N34</f>
        <v>0.30653737765717576</v>
      </c>
      <c r="E6" s="36">
        <f>NIC!N33</f>
        <v>0.29261732369988147</v>
      </c>
      <c r="F6" s="36">
        <f>GTM!N32</f>
        <v>0.26495672170360945</v>
      </c>
      <c r="G6" s="36">
        <f>PER!N32</f>
        <v>0.25096691018478728</v>
      </c>
      <c r="H6" s="36">
        <f>HND!N33</f>
        <v>0.21151069467727079</v>
      </c>
      <c r="I6" s="36">
        <f>CHL!N29</f>
        <v>0.23763392849298243</v>
      </c>
      <c r="J6" s="36">
        <f>ARG!N38</f>
        <v>0.29968347500767412</v>
      </c>
      <c r="K6" s="36">
        <f>PAN!N33</f>
        <v>0.13943767559394224</v>
      </c>
      <c r="L6" s="36">
        <f>BRA!M29</f>
        <v>0.20757086418708728</v>
      </c>
      <c r="M6" s="36">
        <f>CRI!M32</f>
        <v>0.32699162471682619</v>
      </c>
      <c r="N6" s="36">
        <f>COL!N33</f>
        <v>0.17444450540407089</v>
      </c>
      <c r="O6" s="36">
        <f>ECU!N32</f>
        <v>0.18572374246570661</v>
      </c>
      <c r="P6" s="36">
        <f>AVERAGE(C6:O6)</f>
        <v>0.24524310707076691</v>
      </c>
    </row>
    <row r="7" spans="1:16" x14ac:dyDescent="0.25">
      <c r="B7" s="35" t="s">
        <v>29</v>
      </c>
      <c r="C7" s="36">
        <f>SLV!N34</f>
        <v>0.19153560947430934</v>
      </c>
      <c r="D7" s="36">
        <f>DOM!N35</f>
        <v>0.1431298343183274</v>
      </c>
      <c r="E7" s="36">
        <f>NIC!N34</f>
        <v>0.15438034214763935</v>
      </c>
      <c r="F7" s="36">
        <f>GTM!N33</f>
        <v>0.17407633363665315</v>
      </c>
      <c r="G7" s="36">
        <f>PER!N33</f>
        <v>0.18366996132359262</v>
      </c>
      <c r="H7" s="36">
        <f>HND!N34</f>
        <v>0.2190933180288448</v>
      </c>
      <c r="I7" s="36">
        <f>CHL!N30</f>
        <v>0.1821408319068839</v>
      </c>
      <c r="J7" s="36">
        <f>ARG!N39</f>
        <v>8.6483674840720767E-2</v>
      </c>
      <c r="K7" s="36">
        <f>PAN!N34</f>
        <v>0.23457395188602614</v>
      </c>
      <c r="L7" s="36">
        <f>BRA!M30</f>
        <v>0.16572456346532849</v>
      </c>
      <c r="M7" s="36">
        <f>CRI!M33</f>
        <v>4.3170445164914577E-2</v>
      </c>
      <c r="N7" s="36">
        <f>COL!N34</f>
        <v>0.15857793383442145</v>
      </c>
      <c r="O7" s="36">
        <f>ECU!N33</f>
        <v>0.14628266558682523</v>
      </c>
      <c r="P7" s="36">
        <f t="shared" ref="P7:P8" si="0">AVERAGE(C7:O7)</f>
        <v>0.16021842043188364</v>
      </c>
    </row>
    <row r="8" spans="1:16" x14ac:dyDescent="0.25">
      <c r="B8" s="35" t="s">
        <v>30</v>
      </c>
      <c r="C8" s="36">
        <f>SLV!N35</f>
        <v>0.51837884239673593</v>
      </c>
      <c r="D8" s="36">
        <f>DOM!N36</f>
        <v>0.55033278802449692</v>
      </c>
      <c r="E8" s="36">
        <f>NIC!N35</f>
        <v>0.55300233415247924</v>
      </c>
      <c r="F8" s="36">
        <f>GTM!N34</f>
        <v>0.5609669446597374</v>
      </c>
      <c r="G8" s="36">
        <f>PER!N34</f>
        <v>0.56536312849162007</v>
      </c>
      <c r="H8" s="36">
        <f>HND!N35</f>
        <v>0.5693959872938843</v>
      </c>
      <c r="I8" s="36">
        <f>CHL!N31</f>
        <v>0.58022523960013361</v>
      </c>
      <c r="J8" s="36">
        <f>ARG!N40</f>
        <v>0.61383285015160527</v>
      </c>
      <c r="K8" s="36">
        <f>PAN!N35</f>
        <v>0.6259883725200317</v>
      </c>
      <c r="L8" s="36">
        <f>BRA!M31</f>
        <v>0.62670457234758425</v>
      </c>
      <c r="M8" s="36">
        <f>CRI!M34</f>
        <v>0.62983793011825917</v>
      </c>
      <c r="N8" s="36">
        <f>COL!N35</f>
        <v>0.6669775607615076</v>
      </c>
      <c r="O8" s="36">
        <f>ECU!N34</f>
        <v>0.66799359194746821</v>
      </c>
      <c r="P8" s="36">
        <f t="shared" si="0"/>
        <v>0.59453847249734948</v>
      </c>
    </row>
    <row r="9" spans="1:16" x14ac:dyDescent="0.25">
      <c r="B9" s="35"/>
      <c r="C9" s="36">
        <f>SUM(C6:C8)</f>
        <v>1.0000000000000002</v>
      </c>
      <c r="D9" s="36">
        <f t="shared" ref="D9:P9" si="1">SUM(D6:D8)</f>
        <v>1</v>
      </c>
      <c r="E9" s="36">
        <f t="shared" si="1"/>
        <v>1</v>
      </c>
      <c r="F9" s="36">
        <f t="shared" si="1"/>
        <v>1</v>
      </c>
      <c r="G9" s="36">
        <f t="shared" si="1"/>
        <v>1</v>
      </c>
      <c r="H9" s="36">
        <f t="shared" si="1"/>
        <v>0.99999999999999989</v>
      </c>
      <c r="I9" s="36">
        <f t="shared" si="1"/>
        <v>1</v>
      </c>
      <c r="J9" s="36">
        <f t="shared" si="1"/>
        <v>1.0000000000000002</v>
      </c>
      <c r="K9" s="36">
        <f t="shared" si="1"/>
        <v>1</v>
      </c>
      <c r="L9" s="36">
        <f t="shared" si="1"/>
        <v>1</v>
      </c>
      <c r="M9" s="36">
        <f t="shared" si="1"/>
        <v>1</v>
      </c>
      <c r="N9" s="36">
        <f t="shared" si="1"/>
        <v>1</v>
      </c>
      <c r="O9" s="36">
        <f t="shared" si="1"/>
        <v>1</v>
      </c>
      <c r="P9" s="36">
        <f t="shared" si="1"/>
        <v>1</v>
      </c>
    </row>
    <row r="11" spans="1:16" x14ac:dyDescent="0.25">
      <c r="B11" s="35"/>
      <c r="C11" s="35" t="s">
        <v>101</v>
      </c>
      <c r="D11" s="35" t="s">
        <v>94</v>
      </c>
      <c r="E11" s="35" t="s">
        <v>98</v>
      </c>
      <c r="F11" s="35" t="s">
        <v>96</v>
      </c>
      <c r="G11" s="35" t="s">
        <v>100</v>
      </c>
      <c r="H11" s="35" t="s">
        <v>97</v>
      </c>
      <c r="I11" s="35" t="s">
        <v>91</v>
      </c>
      <c r="J11" s="35" t="s">
        <v>89</v>
      </c>
      <c r="K11" s="35" t="s">
        <v>99</v>
      </c>
      <c r="L11" s="35" t="s">
        <v>90</v>
      </c>
      <c r="M11" s="35" t="s">
        <v>93</v>
      </c>
      <c r="N11" s="35" t="s">
        <v>92</v>
      </c>
      <c r="O11" s="35" t="s">
        <v>95</v>
      </c>
      <c r="P11" s="35" t="s">
        <v>102</v>
      </c>
    </row>
    <row r="12" spans="1:16" x14ac:dyDescent="0.25">
      <c r="B12" s="35" t="s">
        <v>28</v>
      </c>
      <c r="C12" s="37">
        <f>+C6*100</f>
        <v>29.008554812895493</v>
      </c>
      <c r="D12" s="37">
        <f t="shared" ref="D12:P12" si="2">+D6*100</f>
        <v>30.653737765717576</v>
      </c>
      <c r="E12" s="37">
        <f t="shared" si="2"/>
        <v>29.261732369988145</v>
      </c>
      <c r="F12" s="37">
        <f t="shared" si="2"/>
        <v>26.495672170360944</v>
      </c>
      <c r="G12" s="37">
        <f t="shared" si="2"/>
        <v>25.09669101847873</v>
      </c>
      <c r="H12" s="37">
        <f t="shared" si="2"/>
        <v>21.15106946772708</v>
      </c>
      <c r="I12" s="37">
        <f t="shared" si="2"/>
        <v>23.763392849298242</v>
      </c>
      <c r="J12" s="37">
        <f t="shared" si="2"/>
        <v>29.968347500767411</v>
      </c>
      <c r="K12" s="37">
        <f t="shared" si="2"/>
        <v>13.943767559394225</v>
      </c>
      <c r="L12" s="37">
        <f t="shared" si="2"/>
        <v>20.757086418708727</v>
      </c>
      <c r="M12" s="37">
        <f t="shared" si="2"/>
        <v>32.699162471682619</v>
      </c>
      <c r="N12" s="37">
        <f t="shared" si="2"/>
        <v>17.44445054040709</v>
      </c>
      <c r="O12" s="37">
        <f t="shared" si="2"/>
        <v>18.572374246570661</v>
      </c>
      <c r="P12" s="37">
        <f t="shared" si="2"/>
        <v>24.52431070707669</v>
      </c>
    </row>
    <row r="13" spans="1:16" x14ac:dyDescent="0.25">
      <c r="B13" s="35" t="s">
        <v>29</v>
      </c>
      <c r="C13" s="37">
        <f t="shared" ref="C13:P13" si="3">+C7*100</f>
        <v>19.153560947430933</v>
      </c>
      <c r="D13" s="37">
        <f t="shared" si="3"/>
        <v>14.312983431832741</v>
      </c>
      <c r="E13" s="37">
        <f t="shared" si="3"/>
        <v>15.438034214763935</v>
      </c>
      <c r="F13" s="37">
        <f t="shared" si="3"/>
        <v>17.407633363665315</v>
      </c>
      <c r="G13" s="37">
        <f t="shared" si="3"/>
        <v>18.366996132359262</v>
      </c>
      <c r="H13" s="37">
        <f t="shared" si="3"/>
        <v>21.909331802884481</v>
      </c>
      <c r="I13" s="37">
        <f t="shared" si="3"/>
        <v>18.214083190688392</v>
      </c>
      <c r="J13" s="37">
        <f t="shared" si="3"/>
        <v>8.648367484072077</v>
      </c>
      <c r="K13" s="37">
        <f t="shared" si="3"/>
        <v>23.457395188602614</v>
      </c>
      <c r="L13" s="37">
        <f t="shared" si="3"/>
        <v>16.572456346532849</v>
      </c>
      <c r="M13" s="37">
        <f t="shared" si="3"/>
        <v>4.3170445164914577</v>
      </c>
      <c r="N13" s="37">
        <f t="shared" si="3"/>
        <v>15.857793383442145</v>
      </c>
      <c r="O13" s="37">
        <f t="shared" si="3"/>
        <v>14.628266558682522</v>
      </c>
      <c r="P13" s="37">
        <f t="shared" si="3"/>
        <v>16.021842043188364</v>
      </c>
    </row>
    <row r="14" spans="1:16" x14ac:dyDescent="0.25">
      <c r="B14" s="35" t="s">
        <v>30</v>
      </c>
      <c r="C14" s="37">
        <f t="shared" ref="C14:P14" si="4">+C8*100</f>
        <v>51.837884239673592</v>
      </c>
      <c r="D14" s="37">
        <f t="shared" si="4"/>
        <v>55.033278802449694</v>
      </c>
      <c r="E14" s="37">
        <f t="shared" si="4"/>
        <v>55.300233415247924</v>
      </c>
      <c r="F14" s="37">
        <f t="shared" si="4"/>
        <v>56.096694465973741</v>
      </c>
      <c r="G14" s="37">
        <f t="shared" si="4"/>
        <v>56.536312849162009</v>
      </c>
      <c r="H14" s="37">
        <f t="shared" si="4"/>
        <v>56.939598729388429</v>
      </c>
      <c r="I14" s="37">
        <f t="shared" si="4"/>
        <v>58.022523960013359</v>
      </c>
      <c r="J14" s="37">
        <f t="shared" si="4"/>
        <v>61.383285015160524</v>
      </c>
      <c r="K14" s="37">
        <f t="shared" si="4"/>
        <v>62.598837252003172</v>
      </c>
      <c r="L14" s="37">
        <f t="shared" si="4"/>
        <v>62.670457234758423</v>
      </c>
      <c r="M14" s="37">
        <f t="shared" si="4"/>
        <v>62.983793011825917</v>
      </c>
      <c r="N14" s="37">
        <f t="shared" si="4"/>
        <v>66.697756076150768</v>
      </c>
      <c r="O14" s="37">
        <f t="shared" si="4"/>
        <v>66.799359194746827</v>
      </c>
      <c r="P14" s="37">
        <f t="shared" si="4"/>
        <v>59.453847249734949</v>
      </c>
    </row>
    <row r="15" spans="1:16" x14ac:dyDescent="0.25">
      <c r="B15" s="35"/>
      <c r="C15" s="37">
        <f t="shared" ref="C15:P15" si="5">+C9*100</f>
        <v>100.00000000000003</v>
      </c>
      <c r="D15" s="37">
        <f t="shared" si="5"/>
        <v>100</v>
      </c>
      <c r="E15" s="37">
        <f t="shared" si="5"/>
        <v>100</v>
      </c>
      <c r="F15" s="37">
        <f t="shared" si="5"/>
        <v>100</v>
      </c>
      <c r="G15" s="37">
        <f t="shared" si="5"/>
        <v>100</v>
      </c>
      <c r="H15" s="37">
        <f t="shared" si="5"/>
        <v>99.999999999999986</v>
      </c>
      <c r="I15" s="37">
        <f t="shared" si="5"/>
        <v>100</v>
      </c>
      <c r="J15" s="37">
        <f t="shared" si="5"/>
        <v>100.00000000000003</v>
      </c>
      <c r="K15" s="37">
        <f t="shared" si="5"/>
        <v>100</v>
      </c>
      <c r="L15" s="37">
        <f t="shared" si="5"/>
        <v>100</v>
      </c>
      <c r="M15" s="37">
        <f t="shared" si="5"/>
        <v>100</v>
      </c>
      <c r="N15" s="37">
        <f t="shared" si="5"/>
        <v>100</v>
      </c>
      <c r="O15" s="37">
        <f t="shared" si="5"/>
        <v>100</v>
      </c>
      <c r="P15" s="37">
        <f t="shared" si="5"/>
        <v>100</v>
      </c>
    </row>
  </sheetData>
  <sortState xmlns:xlrd2="http://schemas.microsoft.com/office/spreadsheetml/2017/richdata2" columnSort="1" ref="C5:O8">
    <sortCondition ref="C8:O8"/>
  </sortState>
  <hyperlinks>
    <hyperlink ref="K1" location="Contenido!A1" display="Contenido" xr:uid="{D16F7A01-25F2-4633-963B-3AB3A1F77F6E}"/>
  </hyperlinks>
  <pageMargins left="0.7" right="0.7" top="0.75" bottom="0.75" header="0.3" footer="0.3"/>
  <pageSetup scale="7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9F95-73B9-4D49-AB0F-60EBDB9FE0C6}">
  <sheetPr>
    <pageSetUpPr fitToPage="1"/>
  </sheetPr>
  <dimension ref="A1:P15"/>
  <sheetViews>
    <sheetView topLeftCell="A8" workbookViewId="0">
      <selection activeCell="P21" sqref="P21"/>
    </sheetView>
  </sheetViews>
  <sheetFormatPr defaultRowHeight="15" x14ac:dyDescent="0.25"/>
  <cols>
    <col min="1" max="1" width="3.7109375" customWidth="1"/>
    <col min="2" max="2" width="22.28515625" bestFit="1" customWidth="1"/>
  </cols>
  <sheetData>
    <row r="1" spans="1:16" ht="18.75" x14ac:dyDescent="0.3">
      <c r="A1" s="29"/>
      <c r="B1" s="29" t="s">
        <v>114</v>
      </c>
      <c r="K1" s="28" t="s">
        <v>122</v>
      </c>
    </row>
    <row r="2" spans="1:16" ht="18.75" x14ac:dyDescent="0.3">
      <c r="A2" s="29"/>
      <c r="B2" s="29" t="s">
        <v>129</v>
      </c>
    </row>
    <row r="3" spans="1:16" ht="18.75" x14ac:dyDescent="0.3">
      <c r="A3" s="31"/>
      <c r="B3" s="31" t="s">
        <v>124</v>
      </c>
    </row>
    <row r="4" spans="1:16" ht="18.75" x14ac:dyDescent="0.3">
      <c r="A4" s="31"/>
      <c r="B4" s="31"/>
    </row>
    <row r="5" spans="1:16" x14ac:dyDescent="0.25">
      <c r="B5" s="35"/>
      <c r="C5" s="35" t="s">
        <v>89</v>
      </c>
      <c r="D5" s="35" t="s">
        <v>90</v>
      </c>
      <c r="E5" s="35" t="s">
        <v>91</v>
      </c>
      <c r="F5" s="35" t="s">
        <v>101</v>
      </c>
      <c r="G5" s="35" t="s">
        <v>94</v>
      </c>
      <c r="H5" s="35" t="s">
        <v>100</v>
      </c>
      <c r="I5" s="35" t="s">
        <v>92</v>
      </c>
      <c r="J5" s="35" t="s">
        <v>93</v>
      </c>
      <c r="K5" s="35" t="s">
        <v>98</v>
      </c>
      <c r="L5" s="35" t="s">
        <v>96</v>
      </c>
      <c r="M5" s="35" t="s">
        <v>99</v>
      </c>
      <c r="N5" s="35" t="s">
        <v>97</v>
      </c>
      <c r="O5" s="35" t="s">
        <v>95</v>
      </c>
      <c r="P5" s="35" t="s">
        <v>102</v>
      </c>
    </row>
    <row r="6" spans="1:16" x14ac:dyDescent="0.25">
      <c r="B6" s="35" t="s">
        <v>28</v>
      </c>
      <c r="C6" s="36">
        <f>ARG!N11/ARG!K11</f>
        <v>0.17785243944915566</v>
      </c>
      <c r="D6" s="36">
        <f>BRA!M11/BRA!K11</f>
        <v>0.11825589254179369</v>
      </c>
      <c r="E6" s="36">
        <f>CHL!N11/CHL!L11</f>
        <v>0.1139419233931323</v>
      </c>
      <c r="F6" s="36">
        <f>SLV!N11/SLV!K11</f>
        <v>0.10134858868749588</v>
      </c>
      <c r="G6" s="36">
        <f>DOM!N11/DOM!K11</f>
        <v>9.9671289146478187E-2</v>
      </c>
      <c r="H6" s="36">
        <f>PER!N11/PER!L11</f>
        <v>8.5478091847966092E-2</v>
      </c>
      <c r="I6" s="36">
        <f>COL!N11/COL!K11</f>
        <v>7.7067386699113366E-2</v>
      </c>
      <c r="J6" s="36">
        <f>CRI!M11/CRI!K11</f>
        <v>7.5894644424346902E-2</v>
      </c>
      <c r="K6" s="36">
        <f>NIC!N11/NIC!K11</f>
        <v>4.8102901278318989E-2</v>
      </c>
      <c r="L6" s="36">
        <f>GTM!N11/GTM!K11</f>
        <v>4.7288633215414627E-2</v>
      </c>
      <c r="M6" s="36">
        <f>PAN!N11/PAN!K11</f>
        <v>4.5584849106206519E-2</v>
      </c>
      <c r="N6" s="36">
        <f>HND!N11/HND!K11</f>
        <v>4.2945366699474248E-2</v>
      </c>
      <c r="O6" s="36">
        <f>ECU!N11/ECU!K11</f>
        <v>3.84452133834874E-2</v>
      </c>
      <c r="P6" s="36">
        <f>AVERAGE(C6:O6)</f>
        <v>8.2452093836337212E-2</v>
      </c>
    </row>
    <row r="7" spans="1:16" x14ac:dyDescent="0.25">
      <c r="B7" s="35" t="s">
        <v>29</v>
      </c>
      <c r="C7" s="36">
        <f>ARG!N12/ARG!K12</f>
        <v>0.17717331631036942</v>
      </c>
      <c r="D7" s="36">
        <f>BRA!M12/BRA!K12</f>
        <v>0.16874691090907973</v>
      </c>
      <c r="E7" s="36">
        <f>CHL!N12/CHL!L12</f>
        <v>0.16246071716998192</v>
      </c>
      <c r="F7" s="36">
        <f>SLV!N12/SLV!K12</f>
        <v>8.685151695146584E-2</v>
      </c>
      <c r="G7" s="36">
        <f>DOM!N12/DOM!K12</f>
        <v>4.4653524340162877E-2</v>
      </c>
      <c r="H7" s="36">
        <f>PER!N12/PER!L12</f>
        <v>9.8601947123148612E-2</v>
      </c>
      <c r="I7" s="36">
        <f>COL!N12/COL!K12</f>
        <v>7.8121030298116165E-2</v>
      </c>
      <c r="J7" s="36">
        <f>CRI!M12/CRI!K12</f>
        <v>1.7233503773197517E-2</v>
      </c>
      <c r="K7" s="36">
        <f>NIC!N12/NIC!K12</f>
        <v>7.0857530711773628E-2</v>
      </c>
      <c r="L7" s="36">
        <f>GTM!N12/GTM!K12</f>
        <v>6.8167290246529247E-2</v>
      </c>
      <c r="M7" s="36">
        <f>PAN!N12/PAN!K12</f>
        <v>8.9082690460415934E-2</v>
      </c>
      <c r="N7" s="36">
        <f>HND!N12/HND!K12</f>
        <v>5.4723361980389351E-2</v>
      </c>
      <c r="O7" s="36">
        <f>ECU!N12/ECU!K12</f>
        <v>6.6363991852855145E-2</v>
      </c>
      <c r="P7" s="36">
        <f t="shared" ref="P7:P8" si="0">AVERAGE(C7:O7)</f>
        <v>9.1002871702114241E-2</v>
      </c>
    </row>
    <row r="8" spans="1:16" x14ac:dyDescent="0.25">
      <c r="B8" s="35" t="s">
        <v>30</v>
      </c>
      <c r="C8" s="36">
        <f>ARG!N13/ARG!K13</f>
        <v>7.3216467973163668E-2</v>
      </c>
      <c r="D8" s="36">
        <f>BRA!M13/BRA!K13</f>
        <v>6.6974047545813861E-2</v>
      </c>
      <c r="E8" s="36">
        <f>CHL!N13/CHL!L13</f>
        <v>4.0949957060931262E-2</v>
      </c>
      <c r="F8" s="36">
        <f>SLV!N13/SLV!K13</f>
        <v>4.3699821839383805E-2</v>
      </c>
      <c r="G8" s="36">
        <f>DOM!N13/DOM!K13</f>
        <v>3.7797157985430978E-2</v>
      </c>
      <c r="H8" s="36">
        <f>PER!N13/PER!L13</f>
        <v>3.4173097283711519E-2</v>
      </c>
      <c r="I8" s="36">
        <f>COL!N13/COL!K13</f>
        <v>4.5307402358206128E-2</v>
      </c>
      <c r="J8" s="36">
        <f>CRI!M13/CRI!K13</f>
        <v>4.1163158017878017E-2</v>
      </c>
      <c r="K8" s="36">
        <f>NIC!N13/NIC!K13</f>
        <v>4.3631455543435609E-2</v>
      </c>
      <c r="L8" s="36">
        <f>GTM!N13/GTM!K13</f>
        <v>3.1485887268537988E-2</v>
      </c>
      <c r="M8" s="36">
        <f>PAN!N13/PAN!K13</f>
        <v>1.7642663102659412E-2</v>
      </c>
      <c r="N8" s="36">
        <f>HND!N13/HND!K13</f>
        <v>5.3394604881456691E-2</v>
      </c>
      <c r="O8" s="36">
        <f>ECU!N13/ECU!K13</f>
        <v>4.0801785919538973E-2</v>
      </c>
      <c r="P8" s="36">
        <f t="shared" si="0"/>
        <v>4.386442359847291E-2</v>
      </c>
    </row>
    <row r="9" spans="1:16" x14ac:dyDescent="0.25">
      <c r="B9" s="35" t="s">
        <v>59</v>
      </c>
      <c r="C9" s="36">
        <f>SUM(C6:C8)</f>
        <v>0.42824222373268878</v>
      </c>
      <c r="D9" s="36">
        <f t="shared" ref="D9:P9" si="1">SUM(D6:D8)</f>
        <v>0.3539768509966873</v>
      </c>
      <c r="E9" s="36">
        <f t="shared" si="1"/>
        <v>0.3173525976240455</v>
      </c>
      <c r="F9" s="36">
        <f t="shared" si="1"/>
        <v>0.23189992747834554</v>
      </c>
      <c r="G9" s="36">
        <f t="shared" si="1"/>
        <v>0.18212197147207204</v>
      </c>
      <c r="H9" s="36">
        <f t="shared" si="1"/>
        <v>0.2182531362548262</v>
      </c>
      <c r="I9" s="36">
        <f t="shared" si="1"/>
        <v>0.20049581935543564</v>
      </c>
      <c r="J9" s="36">
        <f t="shared" si="1"/>
        <v>0.13429130621542243</v>
      </c>
      <c r="K9" s="36">
        <f t="shared" si="1"/>
        <v>0.16259188753352824</v>
      </c>
      <c r="L9" s="36">
        <f t="shared" si="1"/>
        <v>0.14694181073048185</v>
      </c>
      <c r="M9" s="36">
        <f t="shared" si="1"/>
        <v>0.15231020266928186</v>
      </c>
      <c r="N9" s="36">
        <f t="shared" si="1"/>
        <v>0.15106333356132029</v>
      </c>
      <c r="O9" s="36">
        <f t="shared" si="1"/>
        <v>0.14561099115588153</v>
      </c>
      <c r="P9" s="36">
        <f t="shared" si="1"/>
        <v>0.21731938913692439</v>
      </c>
    </row>
    <row r="11" spans="1:16" x14ac:dyDescent="0.25">
      <c r="B11" s="35"/>
      <c r="C11" s="35" t="s">
        <v>89</v>
      </c>
      <c r="D11" s="35" t="s">
        <v>90</v>
      </c>
      <c r="E11" s="35" t="s">
        <v>91</v>
      </c>
      <c r="F11" s="35" t="s">
        <v>101</v>
      </c>
      <c r="G11" s="35" t="s">
        <v>94</v>
      </c>
      <c r="H11" s="35" t="s">
        <v>100</v>
      </c>
      <c r="I11" s="35" t="s">
        <v>92</v>
      </c>
      <c r="J11" s="35" t="s">
        <v>93</v>
      </c>
      <c r="K11" s="35" t="s">
        <v>98</v>
      </c>
      <c r="L11" s="35" t="s">
        <v>96</v>
      </c>
      <c r="M11" s="35" t="s">
        <v>99</v>
      </c>
      <c r="N11" s="35" t="s">
        <v>97</v>
      </c>
      <c r="O11" s="35" t="s">
        <v>95</v>
      </c>
      <c r="P11" s="35" t="s">
        <v>102</v>
      </c>
    </row>
    <row r="12" spans="1:16" x14ac:dyDescent="0.25">
      <c r="B12" s="35" t="s">
        <v>28</v>
      </c>
      <c r="C12" s="37">
        <f>+C6*100</f>
        <v>17.785243944915567</v>
      </c>
      <c r="D12" s="37">
        <f t="shared" ref="D12:P12" si="2">+D6*100</f>
        <v>11.82558925417937</v>
      </c>
      <c r="E12" s="37">
        <f t="shared" si="2"/>
        <v>11.39419233931323</v>
      </c>
      <c r="F12" s="37">
        <f t="shared" si="2"/>
        <v>10.134858868749589</v>
      </c>
      <c r="G12" s="37">
        <f t="shared" si="2"/>
        <v>9.9671289146478195</v>
      </c>
      <c r="H12" s="37">
        <f t="shared" si="2"/>
        <v>8.5478091847966091</v>
      </c>
      <c r="I12" s="37">
        <f t="shared" si="2"/>
        <v>7.7067386699113367</v>
      </c>
      <c r="J12" s="37">
        <f t="shared" si="2"/>
        <v>7.5894644424346902</v>
      </c>
      <c r="K12" s="37">
        <f t="shared" si="2"/>
        <v>4.810290127831899</v>
      </c>
      <c r="L12" s="37">
        <f t="shared" si="2"/>
        <v>4.7288633215414624</v>
      </c>
      <c r="M12" s="37">
        <f t="shared" si="2"/>
        <v>4.5584849106206518</v>
      </c>
      <c r="N12" s="37">
        <f t="shared" si="2"/>
        <v>4.2945366699474246</v>
      </c>
      <c r="O12" s="37">
        <f t="shared" si="2"/>
        <v>3.84452133834874</v>
      </c>
      <c r="P12" s="37">
        <f t="shared" si="2"/>
        <v>8.2452093836337212</v>
      </c>
    </row>
    <row r="13" spans="1:16" x14ac:dyDescent="0.25">
      <c r="B13" s="35" t="s">
        <v>29</v>
      </c>
      <c r="C13" s="37">
        <f t="shared" ref="C13:P13" si="3">+C7*100</f>
        <v>17.717331631036942</v>
      </c>
      <c r="D13" s="37">
        <f t="shared" si="3"/>
        <v>16.874691090907973</v>
      </c>
      <c r="E13" s="37">
        <f t="shared" si="3"/>
        <v>16.246071716998191</v>
      </c>
      <c r="F13" s="37">
        <f t="shared" si="3"/>
        <v>8.6851516951465833</v>
      </c>
      <c r="G13" s="37">
        <f t="shared" si="3"/>
        <v>4.465352434016288</v>
      </c>
      <c r="H13" s="37">
        <f t="shared" si="3"/>
        <v>9.8601947123148612</v>
      </c>
      <c r="I13" s="37">
        <f t="shared" si="3"/>
        <v>7.8121030298116168</v>
      </c>
      <c r="J13" s="37">
        <f t="shared" si="3"/>
        <v>1.7233503773197518</v>
      </c>
      <c r="K13" s="37">
        <f t="shared" si="3"/>
        <v>7.0857530711773631</v>
      </c>
      <c r="L13" s="37">
        <f t="shared" si="3"/>
        <v>6.8167290246529246</v>
      </c>
      <c r="M13" s="37">
        <f t="shared" si="3"/>
        <v>8.9082690460415925</v>
      </c>
      <c r="N13" s="37">
        <f t="shared" si="3"/>
        <v>5.4723361980389349</v>
      </c>
      <c r="O13" s="37">
        <f t="shared" si="3"/>
        <v>6.6363991852855149</v>
      </c>
      <c r="P13" s="37">
        <f t="shared" si="3"/>
        <v>9.1002871702114234</v>
      </c>
    </row>
    <row r="14" spans="1:16" x14ac:dyDescent="0.25">
      <c r="B14" s="35" t="s">
        <v>30</v>
      </c>
      <c r="C14" s="37">
        <f t="shared" ref="C14:P14" si="4">+C8*100</f>
        <v>7.321646797316367</v>
      </c>
      <c r="D14" s="37">
        <f t="shared" si="4"/>
        <v>6.6974047545813864</v>
      </c>
      <c r="E14" s="37">
        <f t="shared" si="4"/>
        <v>4.0949957060931261</v>
      </c>
      <c r="F14" s="37">
        <f t="shared" si="4"/>
        <v>4.3699821839383803</v>
      </c>
      <c r="G14" s="37">
        <f t="shared" si="4"/>
        <v>3.7797157985430978</v>
      </c>
      <c r="H14" s="37">
        <f t="shared" si="4"/>
        <v>3.4173097283711518</v>
      </c>
      <c r="I14" s="37">
        <f t="shared" si="4"/>
        <v>4.5307402358206126</v>
      </c>
      <c r="J14" s="37">
        <f t="shared" si="4"/>
        <v>4.1163158017878017</v>
      </c>
      <c r="K14" s="37">
        <f t="shared" si="4"/>
        <v>4.3631455543435607</v>
      </c>
      <c r="L14" s="37">
        <f t="shared" si="4"/>
        <v>3.1485887268537986</v>
      </c>
      <c r="M14" s="37">
        <f t="shared" si="4"/>
        <v>1.7642663102659411</v>
      </c>
      <c r="N14" s="37">
        <f t="shared" si="4"/>
        <v>5.3394604881456686</v>
      </c>
      <c r="O14" s="37">
        <f t="shared" si="4"/>
        <v>4.0801785919538975</v>
      </c>
      <c r="P14" s="37">
        <f t="shared" si="4"/>
        <v>4.3864423598472913</v>
      </c>
    </row>
    <row r="15" spans="1:16" x14ac:dyDescent="0.25">
      <c r="B15" s="35" t="s">
        <v>59</v>
      </c>
      <c r="C15" s="37">
        <f t="shared" ref="C15:P15" si="5">+C9*100</f>
        <v>42.824222373268874</v>
      </c>
      <c r="D15" s="37">
        <f t="shared" si="5"/>
        <v>35.397685099668728</v>
      </c>
      <c r="E15" s="37">
        <f t="shared" si="5"/>
        <v>31.735259762404549</v>
      </c>
      <c r="F15" s="37">
        <f t="shared" si="5"/>
        <v>23.189992747834552</v>
      </c>
      <c r="G15" s="37">
        <f t="shared" si="5"/>
        <v>18.212197147207203</v>
      </c>
      <c r="H15" s="37">
        <f t="shared" si="5"/>
        <v>21.825313625482622</v>
      </c>
      <c r="I15" s="37">
        <f t="shared" si="5"/>
        <v>20.049581935543564</v>
      </c>
      <c r="J15" s="37">
        <f t="shared" si="5"/>
        <v>13.429130621542242</v>
      </c>
      <c r="K15" s="37">
        <f t="shared" si="5"/>
        <v>16.259188753352824</v>
      </c>
      <c r="L15" s="37">
        <f t="shared" si="5"/>
        <v>14.694181073048185</v>
      </c>
      <c r="M15" s="37">
        <f t="shared" si="5"/>
        <v>15.231020266928185</v>
      </c>
      <c r="N15" s="37">
        <f t="shared" si="5"/>
        <v>15.10633335613203</v>
      </c>
      <c r="O15" s="37">
        <f t="shared" si="5"/>
        <v>14.561099115588153</v>
      </c>
      <c r="P15" s="37">
        <f t="shared" si="5"/>
        <v>21.731938913692439</v>
      </c>
    </row>
  </sheetData>
  <sortState xmlns:xlrd2="http://schemas.microsoft.com/office/spreadsheetml/2017/richdata2" columnSort="1" ref="C5:O8">
    <sortCondition descending="1" ref="C6:O6"/>
  </sortState>
  <hyperlinks>
    <hyperlink ref="K1" location="Contenido!A1" display="Contenido" xr:uid="{2A2FDED0-698F-4EEC-9988-E7A69CF21FDA}"/>
  </hyperlinks>
  <pageMargins left="0.7" right="0.7" top="0.75" bottom="0.75" header="0.3" footer="0.3"/>
  <pageSetup scale="7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82CF-3AC3-4FB3-9398-B5D435A45F85}">
  <sheetPr>
    <pageSetUpPr fitToPage="1"/>
  </sheetPr>
  <dimension ref="B1:P15"/>
  <sheetViews>
    <sheetView topLeftCell="A3" workbookViewId="0">
      <selection activeCell="N24" sqref="N24"/>
    </sheetView>
  </sheetViews>
  <sheetFormatPr defaultRowHeight="15" x14ac:dyDescent="0.25"/>
  <cols>
    <col min="1" max="1" width="3.7109375" customWidth="1"/>
    <col min="2" max="2" width="22.28515625" bestFit="1" customWidth="1"/>
  </cols>
  <sheetData>
    <row r="1" spans="2:16" ht="18.75" x14ac:dyDescent="0.3">
      <c r="B1" s="29" t="s">
        <v>114</v>
      </c>
      <c r="K1" s="28" t="s">
        <v>122</v>
      </c>
    </row>
    <row r="2" spans="2:16" ht="18.75" x14ac:dyDescent="0.3">
      <c r="B2" s="29" t="s">
        <v>126</v>
      </c>
    </row>
    <row r="3" spans="2:16" ht="18.75" x14ac:dyDescent="0.3">
      <c r="B3" s="31" t="s">
        <v>124</v>
      </c>
    </row>
    <row r="5" spans="2:16" x14ac:dyDescent="0.25">
      <c r="B5" s="35"/>
      <c r="C5" s="35" t="s">
        <v>97</v>
      </c>
      <c r="D5" s="35" t="s">
        <v>98</v>
      </c>
      <c r="E5" s="35" t="s">
        <v>94</v>
      </c>
      <c r="F5" s="35" t="s">
        <v>96</v>
      </c>
      <c r="G5" s="35" t="s">
        <v>101</v>
      </c>
      <c r="H5" s="35" t="s">
        <v>95</v>
      </c>
      <c r="I5" s="35" t="s">
        <v>100</v>
      </c>
      <c r="J5" s="35" t="s">
        <v>93</v>
      </c>
      <c r="K5" s="35" t="s">
        <v>90</v>
      </c>
      <c r="L5" s="35" t="s">
        <v>92</v>
      </c>
      <c r="M5" s="35" t="s">
        <v>89</v>
      </c>
      <c r="N5" s="35" t="s">
        <v>99</v>
      </c>
      <c r="O5" s="35" t="s">
        <v>91</v>
      </c>
      <c r="P5" s="35" t="s">
        <v>102</v>
      </c>
    </row>
    <row r="6" spans="2:16" x14ac:dyDescent="0.25">
      <c r="B6" s="35" t="s">
        <v>28</v>
      </c>
      <c r="C6" s="36">
        <f>HND!K39</f>
        <v>0.22623057360077559</v>
      </c>
      <c r="D6" s="36">
        <f>NIC!K39</f>
        <v>0.26456428352869638</v>
      </c>
      <c r="E6" s="36">
        <f>DOM!K40</f>
        <v>0.17850492348527822</v>
      </c>
      <c r="F6" s="36">
        <f>GTM!K37</f>
        <v>0.24040551448242128</v>
      </c>
      <c r="G6" s="36">
        <f>SLV!K39</f>
        <v>0.18568827416060904</v>
      </c>
      <c r="H6" s="36">
        <f>ECU!K37</f>
        <v>0.22971338281518244</v>
      </c>
      <c r="I6" s="36">
        <f>PER!L36</f>
        <v>0.17615167091044426</v>
      </c>
      <c r="J6" s="36">
        <f>CRI!K37</f>
        <v>0.20999157191892548</v>
      </c>
      <c r="K6" s="36">
        <f>BRA!K33</f>
        <v>0.15705033956451725</v>
      </c>
      <c r="L6" s="36">
        <f>COL!K39</f>
        <v>0.13505469130236691</v>
      </c>
      <c r="M6" s="36">
        <f>ARG!K45</f>
        <v>0.17298050354088709</v>
      </c>
      <c r="N6" s="36">
        <f>PAN!K39</f>
        <v>0.11994292907336622</v>
      </c>
      <c r="O6" s="36">
        <f>CHL!L33</f>
        <v>0.12208980342507127</v>
      </c>
      <c r="P6" s="36">
        <f>AVERAGE(C6:O6)</f>
        <v>0.18602834321604164</v>
      </c>
    </row>
    <row r="7" spans="2:16" x14ac:dyDescent="0.25">
      <c r="B7" s="35" t="s">
        <v>29</v>
      </c>
      <c r="C7" s="36">
        <f>HND!K40</f>
        <v>0.29294844423198985</v>
      </c>
      <c r="D7" s="36">
        <f>NIC!K40</f>
        <v>0.17776114258602224</v>
      </c>
      <c r="E7" s="36">
        <f>DOM!K41</f>
        <v>0.21812017565965616</v>
      </c>
      <c r="F7" s="36">
        <f>GTM!K38</f>
        <v>0.13624790907660855</v>
      </c>
      <c r="G7" s="36">
        <f>SLV!K40</f>
        <v>0.18672303431897713</v>
      </c>
      <c r="H7" s="36">
        <f>ECU!K38</f>
        <v>7.5960319059870135E-2</v>
      </c>
      <c r="I7" s="36">
        <f>PER!L37</f>
        <v>9.9107310970062451E-2</v>
      </c>
      <c r="J7" s="36">
        <f>CRI!K38</f>
        <v>6.4613334011604004E-2</v>
      </c>
      <c r="K7" s="36">
        <f>BRA!K34</f>
        <v>0.10526450025504847</v>
      </c>
      <c r="L7" s="36">
        <f>COL!K40</f>
        <v>0.12409371005179141</v>
      </c>
      <c r="M7" s="36">
        <f>ARG!K46</f>
        <v>8.2395473695457008E-2</v>
      </c>
      <c r="N7" s="36">
        <f>PAN!K40</f>
        <v>0.10639618625975118</v>
      </c>
      <c r="O7" s="36">
        <f>CHL!L34</f>
        <v>6.4960137710877885E-2</v>
      </c>
      <c r="P7" s="36">
        <f t="shared" ref="P7:P8" si="0">AVERAGE(C7:O7)</f>
        <v>0.13343012906828589</v>
      </c>
    </row>
    <row r="8" spans="2:16" x14ac:dyDescent="0.25">
      <c r="B8" s="35" t="s">
        <v>30</v>
      </c>
      <c r="C8" s="36">
        <f>HND!K41</f>
        <v>0.48082098216723473</v>
      </c>
      <c r="D8" s="36">
        <f>NIC!K41</f>
        <v>0.55711486188213366</v>
      </c>
      <c r="E8" s="36">
        <f>DOM!K42</f>
        <v>0.60337490085506562</v>
      </c>
      <c r="F8" s="36">
        <f>GTM!K39</f>
        <v>0.62334657644097002</v>
      </c>
      <c r="G8" s="36">
        <f>SLV!K41</f>
        <v>0.62758869152041363</v>
      </c>
      <c r="H8" s="36">
        <f>ECU!K39</f>
        <v>0.69432629812494739</v>
      </c>
      <c r="I8" s="36">
        <f>PER!L38</f>
        <v>0.72474101811949332</v>
      </c>
      <c r="J8" s="36">
        <f>CRI!K39</f>
        <v>0.72539509406947067</v>
      </c>
      <c r="K8" s="36">
        <f>BRA!K35</f>
        <v>0.73768516018043429</v>
      </c>
      <c r="L8" s="36">
        <f>COL!K41</f>
        <v>0.74085159864584171</v>
      </c>
      <c r="M8" s="36">
        <f>ARG!K47</f>
        <v>0.74462402276365591</v>
      </c>
      <c r="N8" s="36">
        <f>PAN!K41</f>
        <v>0.77259720737662119</v>
      </c>
      <c r="O8" s="36">
        <f>CHL!L35</f>
        <v>0.81295005886405092</v>
      </c>
      <c r="P8" s="36">
        <f t="shared" si="0"/>
        <v>0.68041665161617937</v>
      </c>
    </row>
    <row r="9" spans="2:16" x14ac:dyDescent="0.25">
      <c r="B9" s="35"/>
      <c r="C9" s="36">
        <f>SUM(C6:C8)</f>
        <v>1.0000000000000002</v>
      </c>
      <c r="D9" s="36">
        <f t="shared" ref="D9:P9" si="1">SUM(D6:D8)</f>
        <v>0.99944028799685225</v>
      </c>
      <c r="E9" s="36">
        <f t="shared" si="1"/>
        <v>1</v>
      </c>
      <c r="F9" s="36">
        <f t="shared" si="1"/>
        <v>0.99999999999999989</v>
      </c>
      <c r="G9" s="36">
        <f t="shared" si="1"/>
        <v>0.99999999999999978</v>
      </c>
      <c r="H9" s="36">
        <f t="shared" si="1"/>
        <v>1</v>
      </c>
      <c r="I9" s="36">
        <f t="shared" si="1"/>
        <v>1</v>
      </c>
      <c r="J9" s="36">
        <f t="shared" si="1"/>
        <v>1.0000000000000002</v>
      </c>
      <c r="K9" s="36">
        <f t="shared" si="1"/>
        <v>1</v>
      </c>
      <c r="L9" s="36">
        <f t="shared" si="1"/>
        <v>1</v>
      </c>
      <c r="M9" s="36">
        <f t="shared" si="1"/>
        <v>1</v>
      </c>
      <c r="N9" s="36">
        <f t="shared" si="1"/>
        <v>0.99893632270973853</v>
      </c>
      <c r="O9" s="36">
        <f t="shared" si="1"/>
        <v>1</v>
      </c>
      <c r="P9" s="36">
        <f t="shared" si="1"/>
        <v>0.99987512390050692</v>
      </c>
    </row>
    <row r="11" spans="2:16" x14ac:dyDescent="0.25">
      <c r="B11" s="35"/>
      <c r="C11" s="35" t="s">
        <v>97</v>
      </c>
      <c r="D11" s="35" t="s">
        <v>98</v>
      </c>
      <c r="E11" s="35" t="s">
        <v>94</v>
      </c>
      <c r="F11" s="35" t="s">
        <v>96</v>
      </c>
      <c r="G11" s="35" t="s">
        <v>101</v>
      </c>
      <c r="H11" s="35" t="s">
        <v>95</v>
      </c>
      <c r="I11" s="35" t="s">
        <v>100</v>
      </c>
      <c r="J11" s="35" t="s">
        <v>93</v>
      </c>
      <c r="K11" s="35" t="s">
        <v>90</v>
      </c>
      <c r="L11" s="35" t="s">
        <v>92</v>
      </c>
      <c r="M11" s="35" t="s">
        <v>89</v>
      </c>
      <c r="N11" s="35" t="s">
        <v>99</v>
      </c>
      <c r="O11" s="35" t="s">
        <v>91</v>
      </c>
      <c r="P11" s="35" t="s">
        <v>102</v>
      </c>
    </row>
    <row r="12" spans="2:16" x14ac:dyDescent="0.25">
      <c r="B12" s="35" t="s">
        <v>28</v>
      </c>
      <c r="C12" s="37">
        <f>C6*100</f>
        <v>22.62305736007756</v>
      </c>
      <c r="D12" s="37">
        <f t="shared" ref="D12:P12" si="2">D6*100</f>
        <v>26.456428352869636</v>
      </c>
      <c r="E12" s="37">
        <f t="shared" si="2"/>
        <v>17.850492348527823</v>
      </c>
      <c r="F12" s="37">
        <f t="shared" si="2"/>
        <v>24.040551448242127</v>
      </c>
      <c r="G12" s="37">
        <f t="shared" si="2"/>
        <v>18.568827416060905</v>
      </c>
      <c r="H12" s="37">
        <f t="shared" si="2"/>
        <v>22.971338281518243</v>
      </c>
      <c r="I12" s="37">
        <f t="shared" si="2"/>
        <v>17.615167091044427</v>
      </c>
      <c r="J12" s="37">
        <f t="shared" si="2"/>
        <v>20.999157191892547</v>
      </c>
      <c r="K12" s="37">
        <f t="shared" si="2"/>
        <v>15.705033956451725</v>
      </c>
      <c r="L12" s="37">
        <f t="shared" si="2"/>
        <v>13.50546913023669</v>
      </c>
      <c r="M12" s="37">
        <f t="shared" si="2"/>
        <v>17.298050354088709</v>
      </c>
      <c r="N12" s="37">
        <f t="shared" si="2"/>
        <v>11.994292907336622</v>
      </c>
      <c r="O12" s="37">
        <f t="shared" si="2"/>
        <v>12.208980342507127</v>
      </c>
      <c r="P12" s="37">
        <f t="shared" si="2"/>
        <v>18.602834321604163</v>
      </c>
    </row>
    <row r="13" spans="2:16" x14ac:dyDescent="0.25">
      <c r="B13" s="35" t="s">
        <v>29</v>
      </c>
      <c r="C13" s="37">
        <f t="shared" ref="C13:P13" si="3">C7*100</f>
        <v>29.294844423198985</v>
      </c>
      <c r="D13" s="37">
        <f t="shared" si="3"/>
        <v>17.776114258602224</v>
      </c>
      <c r="E13" s="37">
        <f t="shared" si="3"/>
        <v>21.812017565965615</v>
      </c>
      <c r="F13" s="37">
        <f t="shared" si="3"/>
        <v>13.624790907660856</v>
      </c>
      <c r="G13" s="37">
        <f t="shared" si="3"/>
        <v>18.672303431897713</v>
      </c>
      <c r="H13" s="37">
        <f t="shared" si="3"/>
        <v>7.5960319059870134</v>
      </c>
      <c r="I13" s="37">
        <f t="shared" si="3"/>
        <v>9.910731097006245</v>
      </c>
      <c r="J13" s="37">
        <f t="shared" si="3"/>
        <v>6.4613334011604007</v>
      </c>
      <c r="K13" s="37">
        <f t="shared" si="3"/>
        <v>10.526450025504847</v>
      </c>
      <c r="L13" s="37">
        <f t="shared" si="3"/>
        <v>12.409371005179141</v>
      </c>
      <c r="M13" s="37">
        <f t="shared" si="3"/>
        <v>8.2395473695457007</v>
      </c>
      <c r="N13" s="37">
        <f t="shared" si="3"/>
        <v>10.639618625975118</v>
      </c>
      <c r="O13" s="37">
        <f t="shared" si="3"/>
        <v>6.4960137710877888</v>
      </c>
      <c r="P13" s="37">
        <f t="shared" si="3"/>
        <v>13.343012906828589</v>
      </c>
    </row>
    <row r="14" spans="2:16" x14ac:dyDescent="0.25">
      <c r="B14" s="35" t="s">
        <v>30</v>
      </c>
      <c r="C14" s="37">
        <f t="shared" ref="C14:P14" si="4">C8*100</f>
        <v>48.082098216723473</v>
      </c>
      <c r="D14" s="37">
        <f t="shared" si="4"/>
        <v>55.711486188213364</v>
      </c>
      <c r="E14" s="37">
        <f t="shared" si="4"/>
        <v>60.337490085506559</v>
      </c>
      <c r="F14" s="37">
        <f t="shared" si="4"/>
        <v>62.334657644097</v>
      </c>
      <c r="G14" s="37">
        <f t="shared" si="4"/>
        <v>62.758869152041363</v>
      </c>
      <c r="H14" s="37">
        <f t="shared" si="4"/>
        <v>69.432629812494739</v>
      </c>
      <c r="I14" s="37">
        <f t="shared" si="4"/>
        <v>72.474101811949339</v>
      </c>
      <c r="J14" s="37">
        <f t="shared" si="4"/>
        <v>72.539509406947062</v>
      </c>
      <c r="K14" s="37">
        <f t="shared" si="4"/>
        <v>73.768516018043428</v>
      </c>
      <c r="L14" s="37">
        <f t="shared" si="4"/>
        <v>74.08515986458417</v>
      </c>
      <c r="M14" s="37">
        <f t="shared" si="4"/>
        <v>74.462402276365594</v>
      </c>
      <c r="N14" s="37">
        <f t="shared" si="4"/>
        <v>77.259720737662121</v>
      </c>
      <c r="O14" s="37">
        <f t="shared" si="4"/>
        <v>81.295005886405093</v>
      </c>
      <c r="P14" s="37">
        <f t="shared" si="4"/>
        <v>68.041665161617942</v>
      </c>
    </row>
    <row r="15" spans="2:16" x14ac:dyDescent="0.25">
      <c r="B15" s="35"/>
      <c r="C15" s="37">
        <f t="shared" ref="C15:P15" si="5">C9*100</f>
        <v>100.00000000000003</v>
      </c>
      <c r="D15" s="37">
        <f t="shared" si="5"/>
        <v>99.944028799685228</v>
      </c>
      <c r="E15" s="37">
        <f t="shared" si="5"/>
        <v>100</v>
      </c>
      <c r="F15" s="37">
        <f t="shared" si="5"/>
        <v>99.999999999999986</v>
      </c>
      <c r="G15" s="37">
        <f t="shared" si="5"/>
        <v>99.999999999999972</v>
      </c>
      <c r="H15" s="37">
        <f t="shared" si="5"/>
        <v>100</v>
      </c>
      <c r="I15" s="37">
        <f t="shared" si="5"/>
        <v>100</v>
      </c>
      <c r="J15" s="37">
        <f t="shared" si="5"/>
        <v>100.00000000000003</v>
      </c>
      <c r="K15" s="37">
        <f t="shared" si="5"/>
        <v>100</v>
      </c>
      <c r="L15" s="37">
        <f t="shared" si="5"/>
        <v>100</v>
      </c>
      <c r="M15" s="37">
        <f t="shared" si="5"/>
        <v>100</v>
      </c>
      <c r="N15" s="37">
        <f t="shared" si="5"/>
        <v>99.893632270973853</v>
      </c>
      <c r="O15" s="37">
        <f t="shared" si="5"/>
        <v>100</v>
      </c>
      <c r="P15" s="37">
        <f t="shared" si="5"/>
        <v>99.987512390050696</v>
      </c>
    </row>
  </sheetData>
  <sortState xmlns:xlrd2="http://schemas.microsoft.com/office/spreadsheetml/2017/richdata2" columnSort="1" ref="C5:O8">
    <sortCondition ref="C8:O8"/>
  </sortState>
  <hyperlinks>
    <hyperlink ref="K1" location="Contenido!A1" display="Contenido" xr:uid="{1F8869F6-36E2-45F3-83DB-AD46072880D0}"/>
  </hyperlinks>
  <pageMargins left="0.7" right="0.7" top="0.75" bottom="0.75" header="0.3" footer="0.3"/>
  <pageSetup scale="7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9310-7D27-4670-8F13-19A97855E60D}">
  <sheetPr>
    <pageSetUpPr fitToPage="1"/>
  </sheetPr>
  <dimension ref="A1:P15"/>
  <sheetViews>
    <sheetView topLeftCell="A6" workbookViewId="0">
      <selection activeCell="C12" sqref="C12:P15"/>
    </sheetView>
  </sheetViews>
  <sheetFormatPr defaultRowHeight="15" x14ac:dyDescent="0.25"/>
  <cols>
    <col min="1" max="1" width="3.42578125" customWidth="1"/>
    <col min="2" max="2" width="22.28515625" bestFit="1" customWidth="1"/>
  </cols>
  <sheetData>
    <row r="1" spans="1:16" ht="18.75" x14ac:dyDescent="0.3">
      <c r="B1" s="29" t="s">
        <v>114</v>
      </c>
      <c r="K1" s="28" t="s">
        <v>122</v>
      </c>
    </row>
    <row r="2" spans="1:16" ht="18.75" x14ac:dyDescent="0.3">
      <c r="B2" s="29" t="s">
        <v>127</v>
      </c>
    </row>
    <row r="3" spans="1:16" ht="18.75" x14ac:dyDescent="0.3">
      <c r="B3" s="31" t="s">
        <v>124</v>
      </c>
    </row>
    <row r="4" spans="1:16" ht="18.75" x14ac:dyDescent="0.3">
      <c r="A4" s="31"/>
    </row>
    <row r="5" spans="1:16" x14ac:dyDescent="0.25">
      <c r="B5" s="35"/>
      <c r="C5" s="35" t="s">
        <v>97</v>
      </c>
      <c r="D5" s="35" t="s">
        <v>98</v>
      </c>
      <c r="E5" s="35" t="s">
        <v>96</v>
      </c>
      <c r="F5" s="35" t="s">
        <v>101</v>
      </c>
      <c r="G5" s="35" t="s">
        <v>89</v>
      </c>
      <c r="H5" s="35" t="s">
        <v>95</v>
      </c>
      <c r="I5" s="35" t="s">
        <v>99</v>
      </c>
      <c r="J5" s="35" t="s">
        <v>94</v>
      </c>
      <c r="K5" s="35" t="s">
        <v>90</v>
      </c>
      <c r="L5" s="35" t="s">
        <v>93</v>
      </c>
      <c r="M5" s="35" t="s">
        <v>91</v>
      </c>
      <c r="N5" s="35" t="s">
        <v>92</v>
      </c>
      <c r="O5" s="35" t="s">
        <v>100</v>
      </c>
      <c r="P5" s="35" t="s">
        <v>102</v>
      </c>
    </row>
    <row r="6" spans="1:16" x14ac:dyDescent="0.25">
      <c r="B6" s="35" t="s">
        <v>28</v>
      </c>
      <c r="C6" s="36">
        <f>HND!L39</f>
        <v>0.31877871532304353</v>
      </c>
      <c r="D6" s="36">
        <f>NIC!L39</f>
        <v>0.44001578589486778</v>
      </c>
      <c r="E6" s="36">
        <f>GTM!L37</f>
        <v>0.41485305695286945</v>
      </c>
      <c r="F6" s="36">
        <f>SLV!L39</f>
        <v>0.14726665911405312</v>
      </c>
      <c r="G6" s="36">
        <f>ARG!L45</f>
        <v>0.4578622820513582</v>
      </c>
      <c r="H6" s="36">
        <f>ECU!L37</f>
        <v>0.4695106763775943</v>
      </c>
      <c r="I6" s="36">
        <f>PAN!L39</f>
        <v>4.0060501267754352E-2</v>
      </c>
      <c r="J6" s="36">
        <f>DOM!L40</f>
        <v>0.13077223715233244</v>
      </c>
      <c r="K6" s="36">
        <f>BRA!L33</f>
        <v>0.35255244591515</v>
      </c>
      <c r="L6" s="36">
        <f>CRI!L37</f>
        <v>0.31616691998824409</v>
      </c>
      <c r="M6" s="36">
        <f>CHL!M33</f>
        <v>0.22239358638095955</v>
      </c>
      <c r="N6" s="36">
        <f>COL!L39</f>
        <v>0.14163101059494704</v>
      </c>
      <c r="O6" s="36">
        <f>PER!M36</f>
        <v>0.17908010178890196</v>
      </c>
      <c r="P6" s="36">
        <f>AVERAGE(C6:O6)</f>
        <v>0.27930338298477508</v>
      </c>
    </row>
    <row r="7" spans="1:16" x14ac:dyDescent="0.25">
      <c r="B7" s="35" t="s">
        <v>29</v>
      </c>
      <c r="C7" s="36">
        <f>HND!L40</f>
        <v>0.44795924913819957</v>
      </c>
      <c r="D7" s="36">
        <f>NIC!L40</f>
        <v>0.25954824302151991</v>
      </c>
      <c r="E7" s="36">
        <f>GTM!L38</f>
        <v>0.15378668219690328</v>
      </c>
      <c r="F7" s="36">
        <f>SLV!L40</f>
        <v>0.36475105833973209</v>
      </c>
      <c r="G7" s="36">
        <f>ARG!L46</f>
        <v>7.261556655439369E-2</v>
      </c>
      <c r="H7" s="36">
        <f>ECU!L38</f>
        <v>1.3628291985227308E-2</v>
      </c>
      <c r="I7" s="36">
        <f>PAN!L40</f>
        <v>0.27453971114911668</v>
      </c>
      <c r="J7" s="36">
        <f>DOM!L41</f>
        <v>0.25312962005169132</v>
      </c>
      <c r="K7" s="36">
        <f>BRA!L34</f>
        <v>5.9520650579090312E-2</v>
      </c>
      <c r="L7" s="36">
        <f>CRI!L38</f>
        <v>4.2087733875268367E-2</v>
      </c>
      <c r="M7" s="36">
        <f>CHL!M34</f>
        <v>9.9062305388248714E-2</v>
      </c>
      <c r="N7" s="36">
        <f>COL!L40</f>
        <v>0.10756036063569682</v>
      </c>
      <c r="O7" s="36">
        <f>PER!M37</f>
        <v>5.4622008323250301E-2</v>
      </c>
      <c r="P7" s="36">
        <f t="shared" ref="P7:P8" si="0">AVERAGE(C7:O7)</f>
        <v>0.16944703701833375</v>
      </c>
    </row>
    <row r="8" spans="1:16" x14ac:dyDescent="0.25">
      <c r="B8" s="35" t="s">
        <v>30</v>
      </c>
      <c r="C8" s="36">
        <f>HND!L41</f>
        <v>0.21563145092339797</v>
      </c>
      <c r="D8" s="36">
        <f>NIC!L41</f>
        <v>0.27587614094801588</v>
      </c>
      <c r="E8" s="36">
        <f>GTM!L39</f>
        <v>0.33795784408611468</v>
      </c>
      <c r="F8" s="36">
        <f>SLV!L41</f>
        <v>0.44468204737539607</v>
      </c>
      <c r="G8" s="36">
        <f>ARG!L47</f>
        <v>0.45055368963362458</v>
      </c>
      <c r="H8" s="36">
        <f>ECU!L39</f>
        <v>0.51686103163717834</v>
      </c>
      <c r="I8" s="36">
        <f>PAN!L41</f>
        <v>0.54143115189617252</v>
      </c>
      <c r="J8" s="36">
        <f>DOM!L42</f>
        <v>0.61609814279597608</v>
      </c>
      <c r="K8" s="36">
        <f>BRA!L35</f>
        <v>0.58792690350575971</v>
      </c>
      <c r="L8" s="36">
        <f>CRI!L39</f>
        <v>0.64174534613648759</v>
      </c>
      <c r="M8" s="36">
        <f>CHL!M35</f>
        <v>0.6785441082307917</v>
      </c>
      <c r="N8" s="36">
        <f>COL!L41</f>
        <v>0.75080862876935617</v>
      </c>
      <c r="O8" s="36">
        <f>PER!M38</f>
        <v>0.76629788988784775</v>
      </c>
      <c r="P8" s="36">
        <f t="shared" si="0"/>
        <v>0.52495495198662456</v>
      </c>
    </row>
    <row r="9" spans="1:16" x14ac:dyDescent="0.25">
      <c r="B9" s="35"/>
      <c r="C9" s="36">
        <f>SUM(C6:C8)</f>
        <v>0.98236941538464106</v>
      </c>
      <c r="D9" s="36">
        <f t="shared" ref="D9:P9" si="1">SUM(D6:D8)</f>
        <v>0.97544016986440352</v>
      </c>
      <c r="E9" s="36">
        <f t="shared" si="1"/>
        <v>0.90659758323588746</v>
      </c>
      <c r="F9" s="36">
        <f t="shared" si="1"/>
        <v>0.95669976482918129</v>
      </c>
      <c r="G9" s="36">
        <f t="shared" si="1"/>
        <v>0.98103153823937639</v>
      </c>
      <c r="H9" s="36">
        <f t="shared" si="1"/>
        <v>1</v>
      </c>
      <c r="I9" s="36">
        <f t="shared" si="1"/>
        <v>0.8560313643130435</v>
      </c>
      <c r="J9" s="36">
        <f t="shared" si="1"/>
        <v>0.99999999999999978</v>
      </c>
      <c r="K9" s="36">
        <f t="shared" si="1"/>
        <v>1</v>
      </c>
      <c r="L9" s="36">
        <f t="shared" si="1"/>
        <v>1</v>
      </c>
      <c r="M9" s="36">
        <f t="shared" si="1"/>
        <v>1</v>
      </c>
      <c r="N9" s="36">
        <f t="shared" si="1"/>
        <v>1</v>
      </c>
      <c r="O9" s="36">
        <f t="shared" si="1"/>
        <v>1</v>
      </c>
      <c r="P9" s="36">
        <f t="shared" si="1"/>
        <v>0.97370537198973339</v>
      </c>
    </row>
    <row r="11" spans="1:16" x14ac:dyDescent="0.25">
      <c r="B11" s="35"/>
      <c r="C11" s="35" t="s">
        <v>97</v>
      </c>
      <c r="D11" s="35" t="s">
        <v>98</v>
      </c>
      <c r="E11" s="35" t="s">
        <v>96</v>
      </c>
      <c r="F11" s="35" t="s">
        <v>101</v>
      </c>
      <c r="G11" s="35" t="s">
        <v>89</v>
      </c>
      <c r="H11" s="35" t="s">
        <v>95</v>
      </c>
      <c r="I11" s="35" t="s">
        <v>99</v>
      </c>
      <c r="J11" s="35" t="s">
        <v>94</v>
      </c>
      <c r="K11" s="35" t="s">
        <v>90</v>
      </c>
      <c r="L11" s="35" t="s">
        <v>93</v>
      </c>
      <c r="M11" s="35" t="s">
        <v>91</v>
      </c>
      <c r="N11" s="35" t="s">
        <v>92</v>
      </c>
      <c r="O11" s="35" t="s">
        <v>100</v>
      </c>
      <c r="P11" s="35" t="s">
        <v>102</v>
      </c>
    </row>
    <row r="12" spans="1:16" x14ac:dyDescent="0.25">
      <c r="B12" s="35" t="s">
        <v>28</v>
      </c>
      <c r="C12" s="37">
        <f>C6*100</f>
        <v>31.877871532304354</v>
      </c>
      <c r="D12" s="37">
        <f t="shared" ref="D12:P12" si="2">D6*100</f>
        <v>44.001578589486776</v>
      </c>
      <c r="E12" s="37">
        <f t="shared" si="2"/>
        <v>41.485305695286947</v>
      </c>
      <c r="F12" s="37">
        <f t="shared" si="2"/>
        <v>14.726665911405313</v>
      </c>
      <c r="G12" s="37">
        <f t="shared" si="2"/>
        <v>45.786228205135821</v>
      </c>
      <c r="H12" s="37">
        <f t="shared" si="2"/>
        <v>46.951067637759429</v>
      </c>
      <c r="I12" s="37">
        <f t="shared" si="2"/>
        <v>4.0060501267754356</v>
      </c>
      <c r="J12" s="37">
        <f t="shared" si="2"/>
        <v>13.077223715233243</v>
      </c>
      <c r="K12" s="37">
        <f t="shared" si="2"/>
        <v>35.255244591515002</v>
      </c>
      <c r="L12" s="37">
        <f t="shared" si="2"/>
        <v>31.616691998824408</v>
      </c>
      <c r="M12" s="37">
        <f t="shared" si="2"/>
        <v>22.239358638095954</v>
      </c>
      <c r="N12" s="37">
        <f t="shared" si="2"/>
        <v>14.163101059494704</v>
      </c>
      <c r="O12" s="37">
        <f t="shared" si="2"/>
        <v>17.908010178890198</v>
      </c>
      <c r="P12" s="37">
        <f t="shared" si="2"/>
        <v>27.930338298477508</v>
      </c>
    </row>
    <row r="13" spans="1:16" x14ac:dyDescent="0.25">
      <c r="B13" s="35" t="s">
        <v>29</v>
      </c>
      <c r="C13" s="37">
        <f t="shared" ref="C13:P13" si="3">C7*100</f>
        <v>44.79592491381996</v>
      </c>
      <c r="D13" s="37">
        <f t="shared" si="3"/>
        <v>25.954824302151991</v>
      </c>
      <c r="E13" s="37">
        <f t="shared" si="3"/>
        <v>15.378668219690327</v>
      </c>
      <c r="F13" s="37">
        <f t="shared" si="3"/>
        <v>36.47510583397321</v>
      </c>
      <c r="G13" s="37">
        <f t="shared" si="3"/>
        <v>7.2615566554393691</v>
      </c>
      <c r="H13" s="37">
        <f t="shared" si="3"/>
        <v>1.3628291985227308</v>
      </c>
      <c r="I13" s="37">
        <f t="shared" si="3"/>
        <v>27.453971114911667</v>
      </c>
      <c r="J13" s="37">
        <f t="shared" si="3"/>
        <v>25.312962005169133</v>
      </c>
      <c r="K13" s="37">
        <f t="shared" si="3"/>
        <v>5.9520650579090315</v>
      </c>
      <c r="L13" s="37">
        <f t="shared" si="3"/>
        <v>4.2087733875268363</v>
      </c>
      <c r="M13" s="37">
        <f t="shared" si="3"/>
        <v>9.9062305388248717</v>
      </c>
      <c r="N13" s="37">
        <f t="shared" si="3"/>
        <v>10.756036063569683</v>
      </c>
      <c r="O13" s="37">
        <f t="shared" si="3"/>
        <v>5.4622008323250304</v>
      </c>
      <c r="P13" s="37">
        <f t="shared" si="3"/>
        <v>16.944703701833376</v>
      </c>
    </row>
    <row r="14" spans="1:16" x14ac:dyDescent="0.25">
      <c r="B14" s="35" t="s">
        <v>30</v>
      </c>
      <c r="C14" s="37">
        <f t="shared" ref="C14:P14" si="4">C8*100</f>
        <v>21.563145092339798</v>
      </c>
      <c r="D14" s="37">
        <f t="shared" si="4"/>
        <v>27.587614094801587</v>
      </c>
      <c r="E14" s="37">
        <f t="shared" si="4"/>
        <v>33.795784408611468</v>
      </c>
      <c r="F14" s="37">
        <f t="shared" si="4"/>
        <v>44.468204737539608</v>
      </c>
      <c r="G14" s="37">
        <f t="shared" si="4"/>
        <v>45.055368963362454</v>
      </c>
      <c r="H14" s="37">
        <f t="shared" si="4"/>
        <v>51.686103163717831</v>
      </c>
      <c r="I14" s="37">
        <f t="shared" si="4"/>
        <v>54.143115189617255</v>
      </c>
      <c r="J14" s="37">
        <f t="shared" si="4"/>
        <v>61.609814279597607</v>
      </c>
      <c r="K14" s="37">
        <f t="shared" si="4"/>
        <v>58.792690350575974</v>
      </c>
      <c r="L14" s="37">
        <f t="shared" si="4"/>
        <v>64.17453461364876</v>
      </c>
      <c r="M14" s="37">
        <f t="shared" si="4"/>
        <v>67.854410823079164</v>
      </c>
      <c r="N14" s="37">
        <f t="shared" si="4"/>
        <v>75.080862876935612</v>
      </c>
      <c r="O14" s="37">
        <f t="shared" si="4"/>
        <v>76.629788988784782</v>
      </c>
      <c r="P14" s="37">
        <f t="shared" si="4"/>
        <v>52.495495198662454</v>
      </c>
    </row>
    <row r="15" spans="1:16" x14ac:dyDescent="0.25">
      <c r="B15" s="35"/>
      <c r="C15" s="37">
        <f t="shared" ref="C15:P15" si="5">C9*100</f>
        <v>98.236941538464109</v>
      </c>
      <c r="D15" s="37">
        <f t="shared" si="5"/>
        <v>97.544016986440354</v>
      </c>
      <c r="E15" s="37">
        <f t="shared" si="5"/>
        <v>90.659758323588747</v>
      </c>
      <c r="F15" s="37">
        <f t="shared" si="5"/>
        <v>95.669976482918131</v>
      </c>
      <c r="G15" s="37">
        <f t="shared" si="5"/>
        <v>98.103153823937646</v>
      </c>
      <c r="H15" s="37">
        <f t="shared" si="5"/>
        <v>100</v>
      </c>
      <c r="I15" s="37">
        <f t="shared" si="5"/>
        <v>85.60313643130435</v>
      </c>
      <c r="J15" s="37">
        <f t="shared" si="5"/>
        <v>99.999999999999972</v>
      </c>
      <c r="K15" s="37">
        <f t="shared" si="5"/>
        <v>100</v>
      </c>
      <c r="L15" s="37">
        <f t="shared" si="5"/>
        <v>100</v>
      </c>
      <c r="M15" s="37">
        <f t="shared" si="5"/>
        <v>100</v>
      </c>
      <c r="N15" s="37">
        <f t="shared" si="5"/>
        <v>100</v>
      </c>
      <c r="O15" s="37">
        <f t="shared" si="5"/>
        <v>100</v>
      </c>
      <c r="P15" s="37">
        <f t="shared" si="5"/>
        <v>97.370537198973338</v>
      </c>
    </row>
  </sheetData>
  <sortState xmlns:xlrd2="http://schemas.microsoft.com/office/spreadsheetml/2017/richdata2" columnSort="1" ref="C5:O8">
    <sortCondition ref="C8:O8"/>
  </sortState>
  <hyperlinks>
    <hyperlink ref="K1" location="Contenido!A1" display="Contenido" xr:uid="{8C2A5664-11B7-457D-B258-CEBBB8CA1673}"/>
  </hyperlinks>
  <pageMargins left="0.7" right="0.7" top="0.75" bottom="0.75" header="0.3" footer="0.3"/>
  <pageSetup scale="7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B62C-0461-4D20-8E5C-BFCEFDCF3B58}">
  <sheetPr>
    <pageSetUpPr fitToPage="1"/>
  </sheetPr>
  <dimension ref="B1:P15"/>
  <sheetViews>
    <sheetView topLeftCell="A3" workbookViewId="0">
      <selection activeCell="D17" sqref="D17"/>
    </sheetView>
  </sheetViews>
  <sheetFormatPr defaultRowHeight="15" x14ac:dyDescent="0.25"/>
  <cols>
    <col min="1" max="1" width="3.7109375" customWidth="1"/>
    <col min="2" max="2" width="22.28515625" bestFit="1" customWidth="1"/>
  </cols>
  <sheetData>
    <row r="1" spans="2:16" ht="18.75" x14ac:dyDescent="0.3">
      <c r="B1" s="29" t="s">
        <v>114</v>
      </c>
      <c r="K1" s="28" t="s">
        <v>122</v>
      </c>
    </row>
    <row r="2" spans="2:16" ht="18.75" x14ac:dyDescent="0.3">
      <c r="B2" s="29" t="s">
        <v>130</v>
      </c>
    </row>
    <row r="3" spans="2:16" ht="18.75" x14ac:dyDescent="0.3">
      <c r="B3" s="31" t="s">
        <v>124</v>
      </c>
    </row>
    <row r="4" spans="2:16" ht="18.75" x14ac:dyDescent="0.3">
      <c r="B4" s="31"/>
    </row>
    <row r="5" spans="2:16" x14ac:dyDescent="0.25">
      <c r="B5" s="35"/>
      <c r="C5" s="35" t="s">
        <v>97</v>
      </c>
      <c r="D5" s="35" t="s">
        <v>96</v>
      </c>
      <c r="E5" s="35" t="s">
        <v>98</v>
      </c>
      <c r="F5" s="35" t="s">
        <v>101</v>
      </c>
      <c r="G5" s="35" t="s">
        <v>94</v>
      </c>
      <c r="H5" s="35" t="s">
        <v>93</v>
      </c>
      <c r="I5" s="35" t="s">
        <v>100</v>
      </c>
      <c r="J5" s="35" t="s">
        <v>99</v>
      </c>
      <c r="K5" s="35" t="s">
        <v>92</v>
      </c>
      <c r="L5" s="35" t="s">
        <v>95</v>
      </c>
      <c r="M5" s="35" t="s">
        <v>91</v>
      </c>
      <c r="N5" s="35" t="s">
        <v>90</v>
      </c>
      <c r="O5" s="35" t="s">
        <v>89</v>
      </c>
      <c r="P5" s="35" t="s">
        <v>102</v>
      </c>
    </row>
    <row r="6" spans="2:16" x14ac:dyDescent="0.25">
      <c r="B6" s="35" t="s">
        <v>28</v>
      </c>
      <c r="C6" s="36">
        <f>HND!P39</f>
        <v>0.3171542330809714</v>
      </c>
      <c r="D6" s="36">
        <f>GTM!P37</f>
        <v>0.33427127124162054</v>
      </c>
      <c r="E6" s="36">
        <f>NIC!P39</f>
        <v>0.30183808145098767</v>
      </c>
      <c r="F6" s="36">
        <f>SLV!P39</f>
        <v>0.28190745380652787</v>
      </c>
      <c r="G6" s="36">
        <f>DOM!P40</f>
        <v>0.28289716908833445</v>
      </c>
      <c r="H6" s="36">
        <f>CRI!P37</f>
        <v>0.36358305622395587</v>
      </c>
      <c r="I6" s="36">
        <f>PER!P36</f>
        <v>0.20066676742263276</v>
      </c>
      <c r="J6" s="36">
        <f>PAN!P39</f>
        <v>0.18916574096143426</v>
      </c>
      <c r="K6" s="36">
        <f>COL!P39</f>
        <v>0.18541951698923531</v>
      </c>
      <c r="L6" s="36">
        <f>ECU!P37</f>
        <v>0.22142261216863207</v>
      </c>
      <c r="M6" s="36">
        <f>CHL!P33</f>
        <v>0.18215756097266914</v>
      </c>
      <c r="N6" s="36">
        <f>BRA!O33</f>
        <v>0.18876008758496177</v>
      </c>
      <c r="O6" s="36">
        <f>ARG!P45</f>
        <v>0.20293307521984552</v>
      </c>
      <c r="P6" s="36">
        <f>AVERAGE(C6:O6)</f>
        <v>0.25016743278552378</v>
      </c>
    </row>
    <row r="7" spans="2:16" x14ac:dyDescent="0.25">
      <c r="B7" s="35" t="s">
        <v>29</v>
      </c>
      <c r="C7" s="36">
        <f>HND!P40</f>
        <v>0.17486514798658379</v>
      </c>
      <c r="D7" s="36">
        <f>GTM!P38</f>
        <v>0.15344708512415273</v>
      </c>
      <c r="E7" s="36">
        <f>NIC!P40</f>
        <v>0.17761190955856976</v>
      </c>
      <c r="F7" s="36">
        <f>SLV!P40</f>
        <v>0.15873181314132509</v>
      </c>
      <c r="G7" s="36">
        <f>DOM!P41</f>
        <v>0.12608442946352569</v>
      </c>
      <c r="H7" s="36">
        <f>CRI!P38</f>
        <v>3.3880595440764848E-2</v>
      </c>
      <c r="I7" s="36">
        <f>PER!P37</f>
        <v>0.17660979881404301</v>
      </c>
      <c r="J7" s="36">
        <f>PAN!P40</f>
        <v>0.23901683689823836</v>
      </c>
      <c r="K7" s="36">
        <f>COL!P40</f>
        <v>0.16648226670172891</v>
      </c>
      <c r="L7" s="36">
        <f>ECU!P38</f>
        <v>0.11501854706977289</v>
      </c>
      <c r="M7" s="36">
        <f>CHL!P34</f>
        <v>0.14734824482724546</v>
      </c>
      <c r="N7" s="36">
        <f>BRA!O34</f>
        <v>0.13599337487103585</v>
      </c>
      <c r="O7" s="36">
        <f>ARG!P46</f>
        <v>7.316460984626795E-2</v>
      </c>
      <c r="P7" s="36">
        <f t="shared" ref="P7:P8" si="0">AVERAGE(C7:O7)</f>
        <v>0.14448112767255802</v>
      </c>
    </row>
    <row r="8" spans="2:16" x14ac:dyDescent="0.25">
      <c r="B8" s="35" t="s">
        <v>30</v>
      </c>
      <c r="C8" s="36">
        <f>HND!P41</f>
        <v>0.50344542251536639</v>
      </c>
      <c r="D8" s="36">
        <f>GTM!P39</f>
        <v>0.5298248742462659</v>
      </c>
      <c r="E8" s="36">
        <f>NIC!P41</f>
        <v>0.53258333553275494</v>
      </c>
      <c r="F8" s="36">
        <f>SLV!P41</f>
        <v>0.55766718962605</v>
      </c>
      <c r="G8" s="36">
        <f>DOM!P42</f>
        <v>0.59101840144813955</v>
      </c>
      <c r="H8" s="36">
        <f>CRI!P39</f>
        <v>0.60253634833527936</v>
      </c>
      <c r="I8" s="36">
        <f>PER!P38</f>
        <v>0.62272343376332429</v>
      </c>
      <c r="J8" s="36">
        <f>PAN!P41</f>
        <v>0.63921866077816558</v>
      </c>
      <c r="K8" s="36">
        <f>COL!P41</f>
        <v>0.64809821630903575</v>
      </c>
      <c r="L8" s="36">
        <f>ECU!P39</f>
        <v>0.66355884076159499</v>
      </c>
      <c r="M8" s="36">
        <f>CHL!P35</f>
        <v>0.67049419420008538</v>
      </c>
      <c r="N8" s="36">
        <f>BRA!O35</f>
        <v>0.67524653754400243</v>
      </c>
      <c r="O8" s="36">
        <f>ARG!P47</f>
        <v>0.72467774989812339</v>
      </c>
      <c r="P8" s="36">
        <f t="shared" si="0"/>
        <v>0.61239178499678359</v>
      </c>
    </row>
    <row r="9" spans="2:16" x14ac:dyDescent="0.25">
      <c r="B9" s="35"/>
      <c r="C9" s="36">
        <f>SUM(C6:C8)</f>
        <v>0.99546480358292155</v>
      </c>
      <c r="D9" s="36">
        <f t="shared" ref="D9:P9" si="1">SUM(D6:D8)</f>
        <v>1.0175432306120391</v>
      </c>
      <c r="E9" s="36">
        <f t="shared" si="1"/>
        <v>1.0120333265423125</v>
      </c>
      <c r="F9" s="36">
        <f t="shared" si="1"/>
        <v>0.99830645657390293</v>
      </c>
      <c r="G9" s="36">
        <f t="shared" si="1"/>
        <v>0.99999999999999967</v>
      </c>
      <c r="H9" s="36">
        <f t="shared" si="1"/>
        <v>1</v>
      </c>
      <c r="I9" s="36">
        <f t="shared" si="1"/>
        <v>1</v>
      </c>
      <c r="J9" s="36">
        <f t="shared" si="1"/>
        <v>1.0674012386378382</v>
      </c>
      <c r="K9" s="36">
        <f t="shared" si="1"/>
        <v>1</v>
      </c>
      <c r="L9" s="36">
        <f t="shared" si="1"/>
        <v>1</v>
      </c>
      <c r="M9" s="36">
        <f t="shared" si="1"/>
        <v>1</v>
      </c>
      <c r="N9" s="36">
        <f t="shared" si="1"/>
        <v>1</v>
      </c>
      <c r="O9" s="36">
        <f t="shared" si="1"/>
        <v>1.0007754349642368</v>
      </c>
      <c r="P9" s="36">
        <f t="shared" si="1"/>
        <v>1.0070403454548655</v>
      </c>
    </row>
    <row r="11" spans="2:16" x14ac:dyDescent="0.25">
      <c r="B11" s="35"/>
      <c r="C11" s="35" t="s">
        <v>97</v>
      </c>
      <c r="D11" s="35" t="s">
        <v>96</v>
      </c>
      <c r="E11" s="35" t="s">
        <v>98</v>
      </c>
      <c r="F11" s="35" t="s">
        <v>101</v>
      </c>
      <c r="G11" s="35" t="s">
        <v>94</v>
      </c>
      <c r="H11" s="35" t="s">
        <v>93</v>
      </c>
      <c r="I11" s="35" t="s">
        <v>100</v>
      </c>
      <c r="J11" s="35" t="s">
        <v>99</v>
      </c>
      <c r="K11" s="35" t="s">
        <v>92</v>
      </c>
      <c r="L11" s="35" t="s">
        <v>95</v>
      </c>
      <c r="M11" s="35" t="s">
        <v>91</v>
      </c>
      <c r="N11" s="35" t="s">
        <v>90</v>
      </c>
      <c r="O11" s="35" t="s">
        <v>89</v>
      </c>
      <c r="P11" s="35" t="s">
        <v>102</v>
      </c>
    </row>
    <row r="12" spans="2:16" x14ac:dyDescent="0.25">
      <c r="B12" s="35" t="s">
        <v>28</v>
      </c>
      <c r="C12" s="37">
        <f>+C6*100</f>
        <v>31.71542330809714</v>
      </c>
      <c r="D12" s="37">
        <f t="shared" ref="D12:P12" si="2">+D6*100</f>
        <v>33.427127124162055</v>
      </c>
      <c r="E12" s="37">
        <f t="shared" si="2"/>
        <v>30.183808145098766</v>
      </c>
      <c r="F12" s="37">
        <f t="shared" si="2"/>
        <v>28.190745380652789</v>
      </c>
      <c r="G12" s="37">
        <f t="shared" si="2"/>
        <v>28.289716908833444</v>
      </c>
      <c r="H12" s="37">
        <f t="shared" si="2"/>
        <v>36.358305622395584</v>
      </c>
      <c r="I12" s="37">
        <f t="shared" si="2"/>
        <v>20.066676742263276</v>
      </c>
      <c r="J12" s="37">
        <f t="shared" si="2"/>
        <v>18.916574096143428</v>
      </c>
      <c r="K12" s="37">
        <f t="shared" si="2"/>
        <v>18.54195169892353</v>
      </c>
      <c r="L12" s="37">
        <f t="shared" si="2"/>
        <v>22.142261216863208</v>
      </c>
      <c r="M12" s="37">
        <f t="shared" si="2"/>
        <v>18.215756097266915</v>
      </c>
      <c r="N12" s="37">
        <f t="shared" si="2"/>
        <v>18.876008758496177</v>
      </c>
      <c r="O12" s="37">
        <f t="shared" si="2"/>
        <v>20.293307521984552</v>
      </c>
      <c r="P12" s="37">
        <f t="shared" si="2"/>
        <v>25.016743278552379</v>
      </c>
    </row>
    <row r="13" spans="2:16" x14ac:dyDescent="0.25">
      <c r="B13" s="35" t="s">
        <v>29</v>
      </c>
      <c r="C13" s="37">
        <f t="shared" ref="C13:P13" si="3">+C7*100</f>
        <v>17.48651479865838</v>
      </c>
      <c r="D13" s="37">
        <f t="shared" si="3"/>
        <v>15.344708512415274</v>
      </c>
      <c r="E13" s="37">
        <f t="shared" si="3"/>
        <v>17.761190955856975</v>
      </c>
      <c r="F13" s="37">
        <f t="shared" si="3"/>
        <v>15.873181314132509</v>
      </c>
      <c r="G13" s="37">
        <f t="shared" si="3"/>
        <v>12.608442946352568</v>
      </c>
      <c r="H13" s="37">
        <f t="shared" si="3"/>
        <v>3.3880595440764849</v>
      </c>
      <c r="I13" s="37">
        <f t="shared" si="3"/>
        <v>17.660979881404302</v>
      </c>
      <c r="J13" s="37">
        <f t="shared" si="3"/>
        <v>23.901683689823834</v>
      </c>
      <c r="K13" s="37">
        <f t="shared" si="3"/>
        <v>16.648226670172892</v>
      </c>
      <c r="L13" s="37">
        <f t="shared" si="3"/>
        <v>11.501854706977289</v>
      </c>
      <c r="M13" s="37">
        <f t="shared" si="3"/>
        <v>14.734824482724546</v>
      </c>
      <c r="N13" s="37">
        <f t="shared" si="3"/>
        <v>13.599337487103586</v>
      </c>
      <c r="O13" s="37">
        <f t="shared" si="3"/>
        <v>7.3164609846267954</v>
      </c>
      <c r="P13" s="37">
        <f t="shared" si="3"/>
        <v>14.448112767255802</v>
      </c>
    </row>
    <row r="14" spans="2:16" x14ac:dyDescent="0.25">
      <c r="B14" s="35" t="s">
        <v>30</v>
      </c>
      <c r="C14" s="37">
        <f t="shared" ref="C14:P14" si="4">+C8*100</f>
        <v>50.344542251536637</v>
      </c>
      <c r="D14" s="37">
        <f t="shared" si="4"/>
        <v>52.982487424626591</v>
      </c>
      <c r="E14" s="37">
        <f t="shared" si="4"/>
        <v>53.258333553275492</v>
      </c>
      <c r="F14" s="37">
        <f t="shared" si="4"/>
        <v>55.766718962604998</v>
      </c>
      <c r="G14" s="37">
        <f t="shared" si="4"/>
        <v>59.101840144813956</v>
      </c>
      <c r="H14" s="37">
        <f t="shared" si="4"/>
        <v>60.253634833527933</v>
      </c>
      <c r="I14" s="37">
        <f t="shared" si="4"/>
        <v>62.272343376332429</v>
      </c>
      <c r="J14" s="37">
        <f t="shared" si="4"/>
        <v>63.92186607781656</v>
      </c>
      <c r="K14" s="37">
        <f t="shared" si="4"/>
        <v>64.809821630903571</v>
      </c>
      <c r="L14" s="37">
        <f t="shared" si="4"/>
        <v>66.355884076159498</v>
      </c>
      <c r="M14" s="37">
        <f t="shared" si="4"/>
        <v>67.049419420008533</v>
      </c>
      <c r="N14" s="37">
        <f t="shared" si="4"/>
        <v>67.524653754400248</v>
      </c>
      <c r="O14" s="37">
        <f t="shared" si="4"/>
        <v>72.467774989812341</v>
      </c>
      <c r="P14" s="37">
        <f t="shared" si="4"/>
        <v>61.23917849967836</v>
      </c>
    </row>
    <row r="15" spans="2:16" x14ac:dyDescent="0.25">
      <c r="B15" s="35"/>
      <c r="C15" s="37">
        <f t="shared" ref="C15:P15" si="5">+C9*100</f>
        <v>99.546480358292158</v>
      </c>
      <c r="D15" s="37">
        <f t="shared" si="5"/>
        <v>101.75432306120391</v>
      </c>
      <c r="E15" s="37">
        <f t="shared" si="5"/>
        <v>101.20333265423125</v>
      </c>
      <c r="F15" s="37">
        <f t="shared" si="5"/>
        <v>99.830645657390292</v>
      </c>
      <c r="G15" s="37">
        <f t="shared" si="5"/>
        <v>99.999999999999972</v>
      </c>
      <c r="H15" s="37">
        <f t="shared" si="5"/>
        <v>100</v>
      </c>
      <c r="I15" s="37">
        <f t="shared" si="5"/>
        <v>100</v>
      </c>
      <c r="J15" s="37">
        <f t="shared" si="5"/>
        <v>106.74012386378382</v>
      </c>
      <c r="K15" s="37">
        <f t="shared" si="5"/>
        <v>100</v>
      </c>
      <c r="L15" s="37">
        <f t="shared" si="5"/>
        <v>100</v>
      </c>
      <c r="M15" s="37">
        <f t="shared" si="5"/>
        <v>100</v>
      </c>
      <c r="N15" s="37">
        <f t="shared" si="5"/>
        <v>100</v>
      </c>
      <c r="O15" s="37">
        <f t="shared" si="5"/>
        <v>100.07754349642369</v>
      </c>
      <c r="P15" s="37">
        <f t="shared" si="5"/>
        <v>100.70403454548655</v>
      </c>
    </row>
  </sheetData>
  <sortState xmlns:xlrd2="http://schemas.microsoft.com/office/spreadsheetml/2017/richdata2" columnSort="1" ref="C5:O8">
    <sortCondition ref="C8:O8"/>
  </sortState>
  <hyperlinks>
    <hyperlink ref="K1" location="Contenido!A1" display="Contenido" xr:uid="{E6141DA9-86D8-4999-913D-70244A38A771}"/>
  </hyperlinks>
  <pageMargins left="0.7" right="0.7" top="0.75" bottom="0.75" header="0.3" footer="0.3"/>
  <pageSetup scale="7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1649-EED6-4020-BD15-44A2AD1966F6}">
  <dimension ref="A3:Q118"/>
  <sheetViews>
    <sheetView tabSelected="1" topLeftCell="A35" zoomScale="85" zoomScaleNormal="85" workbookViewId="0">
      <selection activeCell="M43" sqref="M43"/>
    </sheetView>
  </sheetViews>
  <sheetFormatPr defaultRowHeight="15" x14ac:dyDescent="0.25"/>
  <cols>
    <col min="1" max="1" width="24.28515625" customWidth="1"/>
    <col min="2" max="2" width="10.7109375" bestFit="1" customWidth="1"/>
    <col min="3" max="3" width="10.5703125" bestFit="1" customWidth="1"/>
    <col min="4" max="4" width="13.28515625" bestFit="1" customWidth="1"/>
    <col min="5" max="5" width="15.85546875" bestFit="1" customWidth="1"/>
    <col min="6" max="6" width="12.42578125" bestFit="1" customWidth="1"/>
    <col min="7" max="7" width="17.42578125" bestFit="1" customWidth="1"/>
    <col min="8" max="8" width="23.140625" bestFit="1" customWidth="1"/>
    <col min="9" max="9" width="22.7109375" bestFit="1" customWidth="1"/>
    <col min="10" max="10" width="17.7109375" bestFit="1" customWidth="1"/>
    <col min="11" max="11" width="11.28515625" bestFit="1" customWidth="1"/>
    <col min="12" max="12" width="11.7109375" bestFit="1" customWidth="1"/>
    <col min="13" max="13" width="27.42578125" bestFit="1" customWidth="1"/>
    <col min="14" max="14" width="17.5703125" bestFit="1" customWidth="1"/>
    <col min="15" max="15" width="11.7109375" bestFit="1" customWidth="1"/>
    <col min="16" max="16" width="20.7109375" bestFit="1" customWidth="1"/>
    <col min="17" max="17" width="11.28515625" bestFit="1" customWidth="1"/>
  </cols>
  <sheetData>
    <row r="3" spans="1:17" x14ac:dyDescent="0.25">
      <c r="A3" s="3" t="s">
        <v>132</v>
      </c>
    </row>
    <row r="5" spans="1:17" x14ac:dyDescent="0.25">
      <c r="A5" s="2"/>
      <c r="B5" s="2"/>
      <c r="C5" s="6" t="s">
        <v>19</v>
      </c>
      <c r="D5" s="6" t="s">
        <v>20</v>
      </c>
      <c r="E5" s="6" t="s">
        <v>21</v>
      </c>
      <c r="F5" s="6" t="s">
        <v>133</v>
      </c>
      <c r="G5" s="6" t="s">
        <v>23</v>
      </c>
      <c r="H5" s="6" t="s">
        <v>24</v>
      </c>
      <c r="I5" s="6" t="s">
        <v>25</v>
      </c>
      <c r="K5" s="6" t="s">
        <v>19</v>
      </c>
      <c r="L5" s="6" t="s">
        <v>20</v>
      </c>
      <c r="M5" s="6" t="s">
        <v>21</v>
      </c>
      <c r="N5" s="6" t="s">
        <v>133</v>
      </c>
      <c r="O5" s="6" t="s">
        <v>23</v>
      </c>
      <c r="P5" s="6" t="s">
        <v>24</v>
      </c>
      <c r="Q5" s="6" t="s">
        <v>25</v>
      </c>
    </row>
    <row r="6" spans="1:17" x14ac:dyDescent="0.25">
      <c r="A6" t="s">
        <v>28</v>
      </c>
      <c r="B6" t="s">
        <v>28</v>
      </c>
      <c r="C6" s="38">
        <f t="shared" ref="C6:I9" si="0">K6*100</f>
        <v>44.327819213315522</v>
      </c>
      <c r="D6" s="38">
        <f t="shared" si="0"/>
        <v>1.0131771557472911</v>
      </c>
      <c r="E6" s="38">
        <f t="shared" si="0"/>
        <v>34.80194530913684</v>
      </c>
      <c r="F6" s="38">
        <f t="shared" si="0"/>
        <v>0.55146384495266454</v>
      </c>
      <c r="G6" s="38">
        <f t="shared" si="0"/>
        <v>2.51062282370374</v>
      </c>
      <c r="H6" s="38">
        <f t="shared" si="0"/>
        <v>2.0285432016754457</v>
      </c>
      <c r="I6" s="38">
        <f t="shared" si="0"/>
        <v>11.190457775565868</v>
      </c>
      <c r="K6" s="39">
        <v>0.44327819213315522</v>
      </c>
      <c r="L6" s="39">
        <v>1.0131771557472911E-2</v>
      </c>
      <c r="M6" s="39">
        <v>0.34801945309136839</v>
      </c>
      <c r="N6" s="39">
        <v>5.5146384495266456E-3</v>
      </c>
      <c r="O6" s="39">
        <v>2.5106228237037401E-2</v>
      </c>
      <c r="P6" s="39">
        <v>2.0285432016754455E-2</v>
      </c>
      <c r="Q6" s="39">
        <v>0.11190457775565868</v>
      </c>
    </row>
    <row r="7" spans="1:17" x14ac:dyDescent="0.25">
      <c r="A7" t="s">
        <v>29</v>
      </c>
      <c r="B7" t="s">
        <v>29</v>
      </c>
      <c r="C7" s="38">
        <f t="shared" si="0"/>
        <v>24.946030821562982</v>
      </c>
      <c r="D7" s="38">
        <f t="shared" si="0"/>
        <v>11.858944511659123</v>
      </c>
      <c r="E7" s="38">
        <f t="shared" si="0"/>
        <v>17.012739512211184</v>
      </c>
      <c r="F7" s="38">
        <f t="shared" si="0"/>
        <v>7.0228812645047709</v>
      </c>
      <c r="G7" s="38">
        <f t="shared" si="0"/>
        <v>6.000935032783417</v>
      </c>
      <c r="H7" s="38">
        <f t="shared" si="0"/>
        <v>9.0519969398596238</v>
      </c>
      <c r="I7" s="38">
        <f t="shared" si="0"/>
        <v>10.148752390901711</v>
      </c>
      <c r="K7" s="39">
        <v>0.24946030821562981</v>
      </c>
      <c r="L7" s="39">
        <v>0.11858944511659122</v>
      </c>
      <c r="M7" s="39">
        <v>0.17012739512211184</v>
      </c>
      <c r="N7" s="39">
        <v>7.0228812645047711E-2</v>
      </c>
      <c r="O7" s="39">
        <v>6.0009350327834166E-2</v>
      </c>
      <c r="P7" s="39">
        <v>9.0519969398596245E-2</v>
      </c>
      <c r="Q7" s="39">
        <v>0.10148752390901711</v>
      </c>
    </row>
    <row r="8" spans="1:17" x14ac:dyDescent="0.25">
      <c r="A8" t="s">
        <v>30</v>
      </c>
      <c r="B8" t="s">
        <v>30</v>
      </c>
      <c r="C8" s="38">
        <f t="shared" si="0"/>
        <v>30.726149965121497</v>
      </c>
      <c r="D8" s="38">
        <f t="shared" si="0"/>
        <v>87.127878332593582</v>
      </c>
      <c r="E8" s="38">
        <f t="shared" si="0"/>
        <v>48.185315178651997</v>
      </c>
      <c r="F8" s="38">
        <f t="shared" si="0"/>
        <v>92.425654890542575</v>
      </c>
      <c r="G8" s="38">
        <f t="shared" si="0"/>
        <v>91.488442143512827</v>
      </c>
      <c r="H8" s="38">
        <f t="shared" si="0"/>
        <v>88.919459858464933</v>
      </c>
      <c r="I8" s="38">
        <f t="shared" si="0"/>
        <v>78.660789833532419</v>
      </c>
      <c r="K8" s="39">
        <v>0.30726149965121496</v>
      </c>
      <c r="L8" s="39">
        <v>0.87127878332593578</v>
      </c>
      <c r="M8" s="39">
        <v>0.48185315178651994</v>
      </c>
      <c r="N8" s="39">
        <v>0.92425654890542575</v>
      </c>
      <c r="O8" s="39">
        <v>0.91488442143512827</v>
      </c>
      <c r="P8" s="39">
        <v>0.88919459858464933</v>
      </c>
      <c r="Q8" s="39">
        <v>0.78660789833532418</v>
      </c>
    </row>
    <row r="9" spans="1:17" x14ac:dyDescent="0.25">
      <c r="A9" s="2" t="s">
        <v>59</v>
      </c>
      <c r="B9" s="2" t="s">
        <v>59</v>
      </c>
      <c r="C9" s="40">
        <f t="shared" si="0"/>
        <v>100</v>
      </c>
      <c r="D9" s="40">
        <f t="shared" si="0"/>
        <v>100</v>
      </c>
      <c r="E9" s="40">
        <f t="shared" si="0"/>
        <v>100</v>
      </c>
      <c r="F9" s="40">
        <f t="shared" si="0"/>
        <v>100</v>
      </c>
      <c r="G9" s="40">
        <f t="shared" si="0"/>
        <v>100</v>
      </c>
      <c r="H9" s="40">
        <f t="shared" si="0"/>
        <v>100</v>
      </c>
      <c r="I9" s="40">
        <f t="shared" si="0"/>
        <v>100</v>
      </c>
      <c r="K9" s="41">
        <v>1</v>
      </c>
      <c r="L9" s="41">
        <v>1</v>
      </c>
      <c r="M9" s="41">
        <v>1</v>
      </c>
      <c r="N9" s="41">
        <v>1</v>
      </c>
      <c r="O9" s="41">
        <v>1</v>
      </c>
      <c r="P9" s="41">
        <v>1</v>
      </c>
      <c r="Q9" s="41">
        <v>1</v>
      </c>
    </row>
    <row r="38" spans="1:11" x14ac:dyDescent="0.25">
      <c r="A38" s="3" t="s">
        <v>134</v>
      </c>
    </row>
    <row r="40" spans="1:11" x14ac:dyDescent="0.25">
      <c r="A40" s="6" t="s">
        <v>135</v>
      </c>
      <c r="B40" s="2" t="s">
        <v>136</v>
      </c>
      <c r="C40" s="1" t="s">
        <v>137</v>
      </c>
      <c r="D40" s="6" t="s">
        <v>138</v>
      </c>
      <c r="E40" s="6" t="s">
        <v>139</v>
      </c>
      <c r="G40" t="s">
        <v>140</v>
      </c>
      <c r="H40" t="s">
        <v>141</v>
      </c>
    </row>
    <row r="41" spans="1:11" x14ac:dyDescent="0.25">
      <c r="A41" s="42" t="s">
        <v>89</v>
      </c>
      <c r="B41" t="s">
        <v>28</v>
      </c>
      <c r="C41" t="s">
        <v>142</v>
      </c>
      <c r="D41" s="39">
        <v>0.12265470289051376</v>
      </c>
      <c r="E41" s="43">
        <v>12.265470289051377</v>
      </c>
      <c r="H41" t="s">
        <v>28</v>
      </c>
      <c r="J41" t="s">
        <v>143</v>
      </c>
      <c r="K41" t="s">
        <v>0</v>
      </c>
    </row>
    <row r="42" spans="1:11" x14ac:dyDescent="0.25">
      <c r="A42" s="42" t="s">
        <v>89</v>
      </c>
      <c r="B42" t="s">
        <v>29</v>
      </c>
      <c r="C42" t="s">
        <v>142</v>
      </c>
      <c r="D42" s="39">
        <v>7.0496706952242028E-2</v>
      </c>
      <c r="E42" s="43">
        <v>7.0496706952242025</v>
      </c>
      <c r="G42" t="s">
        <v>144</v>
      </c>
      <c r="H42" t="s">
        <v>142</v>
      </c>
      <c r="I42" t="s">
        <v>145</v>
      </c>
    </row>
    <row r="43" spans="1:11" x14ac:dyDescent="0.25">
      <c r="A43" s="42" t="s">
        <v>89</v>
      </c>
      <c r="B43" t="s">
        <v>30</v>
      </c>
      <c r="C43" t="s">
        <v>142</v>
      </c>
      <c r="D43" s="39">
        <v>0.80684859015724431</v>
      </c>
      <c r="E43" s="43">
        <v>80.684859015724427</v>
      </c>
      <c r="G43" s="44" t="s">
        <v>89</v>
      </c>
      <c r="H43" s="43">
        <v>12.265470289051377</v>
      </c>
      <c r="I43" s="43">
        <v>10.885246446201345</v>
      </c>
      <c r="J43" s="43">
        <v>23.150716735252722</v>
      </c>
      <c r="K43" s="43">
        <v>23.150716735252722</v>
      </c>
    </row>
    <row r="44" spans="1:11" x14ac:dyDescent="0.25">
      <c r="A44" s="42" t="s">
        <v>90</v>
      </c>
      <c r="B44" t="s">
        <v>28</v>
      </c>
      <c r="C44" t="s">
        <v>142</v>
      </c>
      <c r="D44" s="39">
        <v>0.14679675291274319</v>
      </c>
      <c r="E44" s="43">
        <v>14.679675291274318</v>
      </c>
      <c r="G44" s="44" t="s">
        <v>90</v>
      </c>
      <c r="H44" s="43">
        <v>14.679675291274318</v>
      </c>
      <c r="I44" s="43">
        <v>7.7741363965297818</v>
      </c>
      <c r="J44" s="43">
        <v>22.453811687804098</v>
      </c>
      <c r="K44" s="43">
        <v>22.453811687804098</v>
      </c>
    </row>
    <row r="45" spans="1:11" x14ac:dyDescent="0.25">
      <c r="A45" s="42" t="s">
        <v>90</v>
      </c>
      <c r="B45" t="s">
        <v>29</v>
      </c>
      <c r="C45" t="s">
        <v>142</v>
      </c>
      <c r="D45" s="39">
        <v>9.1557630210939364E-2</v>
      </c>
      <c r="E45" s="43">
        <v>9.1557630210939358</v>
      </c>
      <c r="G45" s="44" t="s">
        <v>91</v>
      </c>
      <c r="H45" s="43">
        <v>8.0224813957791401</v>
      </c>
      <c r="I45" s="43">
        <v>10.10460972481035</v>
      </c>
      <c r="J45" s="43">
        <v>18.12709112058949</v>
      </c>
      <c r="K45" s="43">
        <v>18.12709112058949</v>
      </c>
    </row>
    <row r="46" spans="1:11" x14ac:dyDescent="0.25">
      <c r="A46" s="42" t="s">
        <v>90</v>
      </c>
      <c r="B46" t="s">
        <v>30</v>
      </c>
      <c r="C46" t="s">
        <v>142</v>
      </c>
      <c r="D46" s="39">
        <v>0.76164561687631749</v>
      </c>
      <c r="E46" s="43">
        <v>76.164561687631746</v>
      </c>
      <c r="G46" s="44" t="s">
        <v>92</v>
      </c>
      <c r="H46" s="43">
        <v>11.761424298010043</v>
      </c>
      <c r="I46" s="43">
        <v>10.349788547670457</v>
      </c>
      <c r="J46" s="43">
        <v>22.111212845680498</v>
      </c>
      <c r="K46" s="43">
        <v>22.111212845680498</v>
      </c>
    </row>
    <row r="47" spans="1:11" x14ac:dyDescent="0.25">
      <c r="A47" s="42" t="s">
        <v>91</v>
      </c>
      <c r="B47" t="s">
        <v>28</v>
      </c>
      <c r="C47" t="s">
        <v>142</v>
      </c>
      <c r="D47" s="39">
        <v>8.0224813957791394E-2</v>
      </c>
      <c r="E47" s="43">
        <v>8.0224813957791401</v>
      </c>
      <c r="G47" s="44" t="s">
        <v>93</v>
      </c>
      <c r="H47" s="43">
        <v>17.190101993748623</v>
      </c>
      <c r="I47" s="43">
        <v>11.963689594056621</v>
      </c>
      <c r="J47" s="43">
        <v>29.153791587805244</v>
      </c>
      <c r="K47" s="43">
        <v>29.153791587805244</v>
      </c>
    </row>
    <row r="48" spans="1:11" x14ac:dyDescent="0.25">
      <c r="A48" s="42" t="s">
        <v>91</v>
      </c>
      <c r="B48" t="s">
        <v>29</v>
      </c>
      <c r="C48" t="s">
        <v>142</v>
      </c>
      <c r="D48" s="39">
        <v>5.9125887755635466E-2</v>
      </c>
      <c r="E48" s="43">
        <v>5.9125887755635462</v>
      </c>
      <c r="G48" s="44" t="s">
        <v>94</v>
      </c>
      <c r="H48" s="43">
        <v>15.280776007393392</v>
      </c>
      <c r="I48" s="43">
        <v>12.426104595861277</v>
      </c>
      <c r="J48" s="43">
        <v>27.706880603254668</v>
      </c>
      <c r="K48" s="43">
        <v>27.706880603254668</v>
      </c>
    </row>
    <row r="49" spans="1:11" x14ac:dyDescent="0.25">
      <c r="A49" s="42" t="s">
        <v>91</v>
      </c>
      <c r="B49" t="s">
        <v>30</v>
      </c>
      <c r="C49" t="s">
        <v>142</v>
      </c>
      <c r="D49" s="39">
        <v>0.86064929828657311</v>
      </c>
      <c r="E49" s="43">
        <v>86.064929828657313</v>
      </c>
      <c r="G49" s="44" t="s">
        <v>95</v>
      </c>
      <c r="H49" s="43">
        <v>15.944296804526306</v>
      </c>
      <c r="I49" s="43">
        <v>16.559330888476449</v>
      </c>
      <c r="J49" s="43">
        <v>32.503627693002755</v>
      </c>
      <c r="K49" s="43">
        <v>32.503627693002755</v>
      </c>
    </row>
    <row r="50" spans="1:11" x14ac:dyDescent="0.25">
      <c r="A50" s="42" t="s">
        <v>92</v>
      </c>
      <c r="B50" t="s">
        <v>28</v>
      </c>
      <c r="C50" t="s">
        <v>142</v>
      </c>
      <c r="D50" s="39">
        <v>0.11761424298010044</v>
      </c>
      <c r="E50" s="43">
        <v>11.761424298010043</v>
      </c>
      <c r="G50" s="44" t="s">
        <v>96</v>
      </c>
      <c r="H50" s="43">
        <v>18.348224404606547</v>
      </c>
      <c r="I50" s="43">
        <v>17.224932277793993</v>
      </c>
      <c r="J50" s="43">
        <v>35.573156682400537</v>
      </c>
      <c r="K50" s="43">
        <v>35.573156682400537</v>
      </c>
    </row>
    <row r="51" spans="1:11" x14ac:dyDescent="0.25">
      <c r="A51" s="42" t="s">
        <v>92</v>
      </c>
      <c r="B51" t="s">
        <v>29</v>
      </c>
      <c r="C51" t="s">
        <v>142</v>
      </c>
      <c r="D51" s="39">
        <v>0.10786690320061787</v>
      </c>
      <c r="E51" s="43">
        <v>10.786690320061787</v>
      </c>
      <c r="G51" s="44" t="s">
        <v>97</v>
      </c>
      <c r="H51" s="43">
        <v>16.174809382918433</v>
      </c>
      <c r="I51" s="43">
        <v>12.838958973921294</v>
      </c>
      <c r="J51" s="43">
        <v>29.013768356839726</v>
      </c>
      <c r="K51" s="43">
        <v>29.013768356839726</v>
      </c>
    </row>
    <row r="52" spans="1:11" x14ac:dyDescent="0.25">
      <c r="A52" s="42" t="s">
        <v>92</v>
      </c>
      <c r="B52" t="s">
        <v>30</v>
      </c>
      <c r="C52" t="s">
        <v>142</v>
      </c>
      <c r="D52" s="39">
        <v>0.77451885381928165</v>
      </c>
      <c r="E52" s="43">
        <v>77.451885381928165</v>
      </c>
      <c r="G52" s="44" t="s">
        <v>98</v>
      </c>
      <c r="H52" s="43">
        <v>20.02622090095916</v>
      </c>
      <c r="I52" s="43">
        <v>24.924476156364072</v>
      </c>
      <c r="J52" s="43">
        <v>44.950697057323232</v>
      </c>
      <c r="K52" s="43">
        <v>44.950697057323232</v>
      </c>
    </row>
    <row r="53" spans="1:11" x14ac:dyDescent="0.25">
      <c r="A53" s="42" t="s">
        <v>93</v>
      </c>
      <c r="B53" t="s">
        <v>28</v>
      </c>
      <c r="C53" t="s">
        <v>142</v>
      </c>
      <c r="D53" s="39">
        <v>0.17190101993748624</v>
      </c>
      <c r="E53" s="43">
        <v>17.190101993748623</v>
      </c>
      <c r="G53" s="44" t="s">
        <v>99</v>
      </c>
      <c r="H53" s="43">
        <v>8.2858519965789696</v>
      </c>
      <c r="I53" s="43">
        <v>5.3932351761560939</v>
      </c>
      <c r="J53" s="43">
        <v>13.679087172735063</v>
      </c>
      <c r="K53" s="43">
        <v>13.679087172735063</v>
      </c>
    </row>
    <row r="54" spans="1:11" x14ac:dyDescent="0.25">
      <c r="A54" s="42" t="s">
        <v>93</v>
      </c>
      <c r="B54" t="s">
        <v>29</v>
      </c>
      <c r="C54" t="s">
        <v>142</v>
      </c>
      <c r="D54" s="39">
        <v>5.3720931858697044E-2</v>
      </c>
      <c r="E54" s="43">
        <v>5.3720931858697041</v>
      </c>
      <c r="G54" s="44" t="s">
        <v>100</v>
      </c>
      <c r="H54" s="43">
        <v>14.315449439273159</v>
      </c>
      <c r="I54" s="43">
        <v>12.673408194089456</v>
      </c>
      <c r="J54" s="43">
        <v>26.988857633362613</v>
      </c>
      <c r="K54" s="43">
        <v>26.988857633362613</v>
      </c>
    </row>
    <row r="55" spans="1:11" x14ac:dyDescent="0.25">
      <c r="A55" s="42" t="s">
        <v>93</v>
      </c>
      <c r="B55" t="s">
        <v>30</v>
      </c>
      <c r="C55" t="s">
        <v>142</v>
      </c>
      <c r="D55" s="39">
        <v>0.77437804820381673</v>
      </c>
      <c r="E55" s="43">
        <v>77.437804820381672</v>
      </c>
      <c r="G55" s="44" t="s">
        <v>101</v>
      </c>
      <c r="H55" s="43">
        <v>13.962499505010095</v>
      </c>
      <c r="I55" s="43">
        <v>12.842237570956803</v>
      </c>
      <c r="J55" s="43">
        <v>26.804737075966898</v>
      </c>
      <c r="K55" s="43">
        <v>26.804737075966898</v>
      </c>
    </row>
    <row r="56" spans="1:11" x14ac:dyDescent="0.25">
      <c r="A56" s="42" t="s">
        <v>94</v>
      </c>
      <c r="B56" t="s">
        <v>28</v>
      </c>
      <c r="C56" t="s">
        <v>142</v>
      </c>
      <c r="D56" s="39">
        <v>0.15280776007393393</v>
      </c>
      <c r="E56" s="43">
        <v>15.280776007393392</v>
      </c>
      <c r="G56" s="44" t="s">
        <v>0</v>
      </c>
      <c r="H56" s="43">
        <v>186.25728170912953</v>
      </c>
      <c r="I56" s="43">
        <v>165.96015454288798</v>
      </c>
      <c r="J56" s="43">
        <v>352.21743625201759</v>
      </c>
      <c r="K56" s="43">
        <v>352.21743625201759</v>
      </c>
    </row>
    <row r="57" spans="1:11" x14ac:dyDescent="0.25">
      <c r="A57" s="42" t="s">
        <v>94</v>
      </c>
      <c r="B57" t="s">
        <v>29</v>
      </c>
      <c r="C57" t="s">
        <v>142</v>
      </c>
      <c r="D57" s="39">
        <v>0.26799694212246999</v>
      </c>
      <c r="E57" s="43">
        <v>26.799694212247001</v>
      </c>
    </row>
    <row r="58" spans="1:11" x14ac:dyDescent="0.25">
      <c r="A58" s="42" t="s">
        <v>94</v>
      </c>
      <c r="B58" t="s">
        <v>30</v>
      </c>
      <c r="C58" t="s">
        <v>142</v>
      </c>
      <c r="D58" s="39">
        <v>0.57919529780359602</v>
      </c>
      <c r="E58" s="43">
        <v>57.919529780359603</v>
      </c>
    </row>
    <row r="59" spans="1:11" x14ac:dyDescent="0.25">
      <c r="A59" s="42" t="s">
        <v>95</v>
      </c>
      <c r="B59" t="s">
        <v>28</v>
      </c>
      <c r="C59" t="s">
        <v>142</v>
      </c>
      <c r="D59" s="39">
        <v>0.15944296804526306</v>
      </c>
      <c r="E59" s="43">
        <v>15.944296804526306</v>
      </c>
    </row>
    <row r="60" spans="1:11" x14ac:dyDescent="0.25">
      <c r="A60" s="42" t="s">
        <v>95</v>
      </c>
      <c r="B60" t="s">
        <v>29</v>
      </c>
      <c r="C60" t="s">
        <v>142</v>
      </c>
      <c r="D60" s="39">
        <v>8.3974272134598613E-2</v>
      </c>
      <c r="E60" s="43">
        <v>8.3974272134598618</v>
      </c>
    </row>
    <row r="61" spans="1:11" x14ac:dyDescent="0.25">
      <c r="A61" s="42" t="s">
        <v>95</v>
      </c>
      <c r="B61" t="s">
        <v>30</v>
      </c>
      <c r="C61" t="s">
        <v>142</v>
      </c>
      <c r="D61" s="39">
        <v>0.75658275982013834</v>
      </c>
      <c r="E61" s="43">
        <v>75.658275982013834</v>
      </c>
    </row>
    <row r="62" spans="1:11" x14ac:dyDescent="0.25">
      <c r="A62" s="42" t="s">
        <v>96</v>
      </c>
      <c r="B62" t="s">
        <v>28</v>
      </c>
      <c r="C62" t="s">
        <v>142</v>
      </c>
      <c r="D62" s="39">
        <v>0.18348224404606547</v>
      </c>
      <c r="E62" s="43">
        <v>18.348224404606547</v>
      </c>
    </row>
    <row r="63" spans="1:11" x14ac:dyDescent="0.25">
      <c r="A63" s="42" t="s">
        <v>96</v>
      </c>
      <c r="B63" t="s">
        <v>29</v>
      </c>
      <c r="C63" t="s">
        <v>142</v>
      </c>
      <c r="D63" s="39">
        <v>0.10478609951163137</v>
      </c>
      <c r="E63" s="43">
        <v>10.478609951163136</v>
      </c>
    </row>
    <row r="64" spans="1:11" x14ac:dyDescent="0.25">
      <c r="A64" s="42" t="s">
        <v>96</v>
      </c>
      <c r="B64" t="s">
        <v>30</v>
      </c>
      <c r="C64" t="s">
        <v>142</v>
      </c>
      <c r="D64" s="39">
        <v>0.71173165644230307</v>
      </c>
      <c r="E64" s="43">
        <v>71.173165644230309</v>
      </c>
    </row>
    <row r="65" spans="1:5" x14ac:dyDescent="0.25">
      <c r="A65" s="42" t="s">
        <v>97</v>
      </c>
      <c r="B65" t="s">
        <v>28</v>
      </c>
      <c r="C65" t="s">
        <v>142</v>
      </c>
      <c r="D65" s="39">
        <v>0.16174809382918434</v>
      </c>
      <c r="E65" s="43">
        <v>16.174809382918433</v>
      </c>
    </row>
    <row r="66" spans="1:5" x14ac:dyDescent="0.25">
      <c r="A66" s="42" t="s">
        <v>97</v>
      </c>
      <c r="B66" t="s">
        <v>29</v>
      </c>
      <c r="C66" t="s">
        <v>142</v>
      </c>
      <c r="D66" s="39">
        <v>0.21864292434734928</v>
      </c>
      <c r="E66" s="43">
        <v>21.864292434734928</v>
      </c>
    </row>
    <row r="67" spans="1:5" x14ac:dyDescent="0.25">
      <c r="A67" s="42" t="s">
        <v>97</v>
      </c>
      <c r="B67" t="s">
        <v>30</v>
      </c>
      <c r="C67" t="s">
        <v>142</v>
      </c>
      <c r="D67" s="39">
        <v>0.61960898182346635</v>
      </c>
      <c r="E67" s="43">
        <v>61.960898182346632</v>
      </c>
    </row>
    <row r="68" spans="1:5" x14ac:dyDescent="0.25">
      <c r="A68" s="42" t="s">
        <v>98</v>
      </c>
      <c r="B68" t="s">
        <v>28</v>
      </c>
      <c r="C68" t="s">
        <v>142</v>
      </c>
      <c r="D68" s="39">
        <v>0.2002622090095916</v>
      </c>
      <c r="E68" s="43">
        <v>20.02622090095916</v>
      </c>
    </row>
    <row r="69" spans="1:5" x14ac:dyDescent="0.25">
      <c r="A69" s="42" t="s">
        <v>98</v>
      </c>
      <c r="B69" t="s">
        <v>29</v>
      </c>
      <c r="C69" t="s">
        <v>142</v>
      </c>
      <c r="D69" s="39">
        <v>0.16620051657635473</v>
      </c>
      <c r="E69" s="43">
        <v>16.620051657635475</v>
      </c>
    </row>
    <row r="70" spans="1:5" x14ac:dyDescent="0.25">
      <c r="A70" s="42" t="s">
        <v>98</v>
      </c>
      <c r="B70" t="s">
        <v>30</v>
      </c>
      <c r="C70" t="s">
        <v>142</v>
      </c>
      <c r="D70" s="39">
        <v>0.63353727441405372</v>
      </c>
      <c r="E70" s="43">
        <v>63.353727441405368</v>
      </c>
    </row>
    <row r="71" spans="1:5" x14ac:dyDescent="0.25">
      <c r="A71" s="42" t="s">
        <v>99</v>
      </c>
      <c r="B71" t="s">
        <v>28</v>
      </c>
      <c r="C71" t="s">
        <v>142</v>
      </c>
      <c r="D71" s="39">
        <v>8.2858519965789704E-2</v>
      </c>
      <c r="E71" s="43">
        <v>8.2858519965789696</v>
      </c>
    </row>
    <row r="72" spans="1:5" x14ac:dyDescent="0.25">
      <c r="A72" s="42" t="s">
        <v>99</v>
      </c>
      <c r="B72" t="s">
        <v>29</v>
      </c>
      <c r="C72" t="s">
        <v>142</v>
      </c>
      <c r="D72" s="39">
        <v>0.10431594747858021</v>
      </c>
      <c r="E72" s="43">
        <v>10.431594747858021</v>
      </c>
    </row>
    <row r="73" spans="1:5" x14ac:dyDescent="0.25">
      <c r="A73" s="42" t="s">
        <v>99</v>
      </c>
      <c r="B73" t="s">
        <v>30</v>
      </c>
      <c r="C73" t="s">
        <v>142</v>
      </c>
      <c r="D73" s="39">
        <v>0.81282553255563006</v>
      </c>
      <c r="E73" s="43">
        <v>81.282553255563002</v>
      </c>
    </row>
    <row r="74" spans="1:5" x14ac:dyDescent="0.25">
      <c r="A74" s="42" t="s">
        <v>100</v>
      </c>
      <c r="B74" t="s">
        <v>28</v>
      </c>
      <c r="C74" t="s">
        <v>142</v>
      </c>
      <c r="D74" s="39">
        <v>0.14315449439273159</v>
      </c>
      <c r="E74" s="43">
        <v>14.315449439273159</v>
      </c>
    </row>
    <row r="75" spans="1:5" x14ac:dyDescent="0.25">
      <c r="A75" s="42" t="s">
        <v>100</v>
      </c>
      <c r="B75" t="s">
        <v>29</v>
      </c>
      <c r="C75" t="s">
        <v>142</v>
      </c>
      <c r="D75" s="39">
        <v>9.9471401840559776E-2</v>
      </c>
      <c r="E75" s="43">
        <v>9.9471401840559768</v>
      </c>
    </row>
    <row r="76" spans="1:5" x14ac:dyDescent="0.25">
      <c r="A76" s="42" t="s">
        <v>100</v>
      </c>
      <c r="B76" t="s">
        <v>30</v>
      </c>
      <c r="C76" t="s">
        <v>142</v>
      </c>
      <c r="D76" s="39">
        <v>0.75737410376670855</v>
      </c>
      <c r="E76" s="43">
        <v>75.737410376670852</v>
      </c>
    </row>
    <row r="77" spans="1:5" x14ac:dyDescent="0.25">
      <c r="A77" s="42" t="s">
        <v>101</v>
      </c>
      <c r="B77" t="s">
        <v>28</v>
      </c>
      <c r="C77" t="s">
        <v>142</v>
      </c>
      <c r="D77" s="39">
        <v>0.13962499505010095</v>
      </c>
      <c r="E77" s="43">
        <v>13.962499505010095</v>
      </c>
    </row>
    <row r="78" spans="1:5" x14ac:dyDescent="0.25">
      <c r="A78" s="42" t="s">
        <v>101</v>
      </c>
      <c r="B78" t="s">
        <v>29</v>
      </c>
      <c r="C78" t="s">
        <v>142</v>
      </c>
      <c r="D78" s="39">
        <v>0.12025248397123042</v>
      </c>
      <c r="E78" s="43">
        <v>12.025248397123041</v>
      </c>
    </row>
    <row r="79" spans="1:5" x14ac:dyDescent="0.25">
      <c r="A79" s="42" t="s">
        <v>101</v>
      </c>
      <c r="B79" t="s">
        <v>30</v>
      </c>
      <c r="C79" t="s">
        <v>142</v>
      </c>
      <c r="D79" s="39">
        <v>0.7401225209786686</v>
      </c>
      <c r="E79" s="43">
        <v>74.012252097866863</v>
      </c>
    </row>
    <row r="80" spans="1:5" x14ac:dyDescent="0.25">
      <c r="A80" s="42" t="s">
        <v>89</v>
      </c>
      <c r="B80" t="s">
        <v>28</v>
      </c>
      <c r="C80" t="s">
        <v>145</v>
      </c>
      <c r="D80" s="39">
        <v>0.10885246446201345</v>
      </c>
      <c r="E80" s="43">
        <v>10.885246446201345</v>
      </c>
    </row>
    <row r="81" spans="1:5" x14ac:dyDescent="0.25">
      <c r="A81" s="42" t="s">
        <v>89</v>
      </c>
      <c r="B81" t="s">
        <v>29</v>
      </c>
      <c r="C81" t="s">
        <v>145</v>
      </c>
      <c r="D81" s="39">
        <v>5.9260347707237294E-2</v>
      </c>
      <c r="E81" s="43">
        <v>5.9260347707237297</v>
      </c>
    </row>
    <row r="82" spans="1:5" x14ac:dyDescent="0.25">
      <c r="A82" s="42" t="s">
        <v>89</v>
      </c>
      <c r="B82" t="s">
        <v>30</v>
      </c>
      <c r="C82" t="s">
        <v>145</v>
      </c>
      <c r="D82" s="39">
        <v>0.83188718783074933</v>
      </c>
      <c r="E82" s="43">
        <v>83.188718783074933</v>
      </c>
    </row>
    <row r="83" spans="1:5" x14ac:dyDescent="0.25">
      <c r="A83" s="42" t="s">
        <v>90</v>
      </c>
      <c r="B83" t="s">
        <v>28</v>
      </c>
      <c r="C83" t="s">
        <v>145</v>
      </c>
      <c r="D83" s="39">
        <v>7.7741363965297822E-2</v>
      </c>
      <c r="E83" s="43">
        <v>7.7741363965297818</v>
      </c>
    </row>
    <row r="84" spans="1:5" x14ac:dyDescent="0.25">
      <c r="A84" s="42" t="s">
        <v>90</v>
      </c>
      <c r="B84" t="s">
        <v>29</v>
      </c>
      <c r="C84" t="s">
        <v>145</v>
      </c>
      <c r="D84" s="39">
        <v>7.6344459878725374E-2</v>
      </c>
      <c r="E84" s="43">
        <v>7.634445987872537</v>
      </c>
    </row>
    <row r="85" spans="1:5" x14ac:dyDescent="0.25">
      <c r="A85" s="42" t="s">
        <v>90</v>
      </c>
      <c r="B85" t="s">
        <v>30</v>
      </c>
      <c r="C85" t="s">
        <v>145</v>
      </c>
      <c r="D85" s="39">
        <v>0.84591417615597686</v>
      </c>
      <c r="E85" s="43">
        <v>84.591417615597692</v>
      </c>
    </row>
    <row r="86" spans="1:5" x14ac:dyDescent="0.25">
      <c r="A86" s="42" t="s">
        <v>91</v>
      </c>
      <c r="B86" t="s">
        <v>28</v>
      </c>
      <c r="C86" t="s">
        <v>145</v>
      </c>
      <c r="D86" s="39">
        <v>0.10104609724810351</v>
      </c>
      <c r="E86" s="43">
        <v>10.10460972481035</v>
      </c>
    </row>
    <row r="87" spans="1:5" x14ac:dyDescent="0.25">
      <c r="A87" s="42" t="s">
        <v>91</v>
      </c>
      <c r="B87" t="s">
        <v>29</v>
      </c>
      <c r="C87" t="s">
        <v>145</v>
      </c>
      <c r="D87" s="39">
        <v>6.8076990176591107E-2</v>
      </c>
      <c r="E87" s="43">
        <v>6.807699017659111</v>
      </c>
    </row>
    <row r="88" spans="1:5" x14ac:dyDescent="0.25">
      <c r="A88" s="42" t="s">
        <v>91</v>
      </c>
      <c r="B88" t="s">
        <v>30</v>
      </c>
      <c r="C88" t="s">
        <v>145</v>
      </c>
      <c r="D88" s="39">
        <v>0.83087691257530527</v>
      </c>
      <c r="E88" s="43">
        <v>83.087691257530523</v>
      </c>
    </row>
    <row r="89" spans="1:5" x14ac:dyDescent="0.25">
      <c r="A89" s="42" t="s">
        <v>92</v>
      </c>
      <c r="B89" t="s">
        <v>28</v>
      </c>
      <c r="C89" t="s">
        <v>145</v>
      </c>
      <c r="D89" s="39">
        <v>0.10349788547670456</v>
      </c>
      <c r="E89" s="43">
        <v>10.349788547670457</v>
      </c>
    </row>
    <row r="90" spans="1:5" x14ac:dyDescent="0.25">
      <c r="A90" s="42" t="s">
        <v>92</v>
      </c>
      <c r="B90" t="s">
        <v>29</v>
      </c>
      <c r="C90" t="s">
        <v>145</v>
      </c>
      <c r="D90" s="39">
        <v>3.2520832961581696E-2</v>
      </c>
      <c r="E90" s="43">
        <v>3.2520832961581694</v>
      </c>
    </row>
    <row r="91" spans="1:5" x14ac:dyDescent="0.25">
      <c r="A91" s="42" t="s">
        <v>92</v>
      </c>
      <c r="B91" t="s">
        <v>30</v>
      </c>
      <c r="C91" t="s">
        <v>145</v>
      </c>
      <c r="D91" s="39">
        <v>0.86398128156171372</v>
      </c>
      <c r="E91" s="43">
        <v>86.398128156171367</v>
      </c>
    </row>
    <row r="92" spans="1:5" x14ac:dyDescent="0.25">
      <c r="A92" s="42" t="s">
        <v>93</v>
      </c>
      <c r="B92" t="s">
        <v>28</v>
      </c>
      <c r="C92" t="s">
        <v>145</v>
      </c>
      <c r="D92" s="39">
        <v>0.11963689594056622</v>
      </c>
      <c r="E92" s="43">
        <v>11.963689594056621</v>
      </c>
    </row>
    <row r="93" spans="1:5" x14ac:dyDescent="0.25">
      <c r="A93" s="42" t="s">
        <v>93</v>
      </c>
      <c r="B93" t="s">
        <v>29</v>
      </c>
      <c r="C93" t="s">
        <v>145</v>
      </c>
      <c r="D93" s="39">
        <v>7.8659810239118319E-3</v>
      </c>
      <c r="E93" s="43">
        <v>0.78659810239118322</v>
      </c>
    </row>
    <row r="94" spans="1:5" x14ac:dyDescent="0.25">
      <c r="A94" s="42" t="s">
        <v>93</v>
      </c>
      <c r="B94" t="s">
        <v>30</v>
      </c>
      <c r="C94" t="s">
        <v>145</v>
      </c>
      <c r="D94" s="39">
        <v>0.87249712303552196</v>
      </c>
      <c r="E94" s="43">
        <v>87.249712303552201</v>
      </c>
    </row>
    <row r="95" spans="1:5" x14ac:dyDescent="0.25">
      <c r="A95" s="42" t="s">
        <v>94</v>
      </c>
      <c r="B95" t="s">
        <v>28</v>
      </c>
      <c r="C95" t="s">
        <v>145</v>
      </c>
      <c r="D95" s="39">
        <v>0.12426104595861277</v>
      </c>
      <c r="E95" s="43">
        <v>12.426104595861277</v>
      </c>
    </row>
    <row r="96" spans="1:5" x14ac:dyDescent="0.25">
      <c r="A96" s="42" t="s">
        <v>94</v>
      </c>
      <c r="B96" t="s">
        <v>29</v>
      </c>
      <c r="C96" t="s">
        <v>145</v>
      </c>
      <c r="D96" s="39">
        <v>7.2704107896765582E-2</v>
      </c>
      <c r="E96" s="43">
        <v>7.270410789676558</v>
      </c>
    </row>
    <row r="97" spans="1:5" x14ac:dyDescent="0.25">
      <c r="A97" s="42" t="s">
        <v>94</v>
      </c>
      <c r="B97" t="s">
        <v>30</v>
      </c>
      <c r="C97" t="s">
        <v>145</v>
      </c>
      <c r="D97" s="39">
        <v>0.80303484614462173</v>
      </c>
      <c r="E97" s="43">
        <v>80.303484614462178</v>
      </c>
    </row>
    <row r="98" spans="1:5" x14ac:dyDescent="0.25">
      <c r="A98" s="42" t="s">
        <v>95</v>
      </c>
      <c r="B98" t="s">
        <v>28</v>
      </c>
      <c r="C98" t="s">
        <v>145</v>
      </c>
      <c r="D98" s="39">
        <v>0.16559330888476448</v>
      </c>
      <c r="E98" s="43">
        <v>16.559330888476449</v>
      </c>
    </row>
    <row r="99" spans="1:5" x14ac:dyDescent="0.25">
      <c r="A99" s="42" t="s">
        <v>95</v>
      </c>
      <c r="B99" t="s">
        <v>29</v>
      </c>
      <c r="C99" t="s">
        <v>145</v>
      </c>
      <c r="D99" s="39">
        <v>0.11957748029274455</v>
      </c>
      <c r="E99" s="43">
        <v>11.957748029274455</v>
      </c>
    </row>
    <row r="100" spans="1:5" x14ac:dyDescent="0.25">
      <c r="A100" s="42" t="s">
        <v>95</v>
      </c>
      <c r="B100" t="s">
        <v>30</v>
      </c>
      <c r="C100" t="s">
        <v>145</v>
      </c>
      <c r="D100" s="39">
        <v>0.71482921082249096</v>
      </c>
      <c r="E100" s="43">
        <v>71.482921082249092</v>
      </c>
    </row>
    <row r="101" spans="1:5" x14ac:dyDescent="0.25">
      <c r="A101" s="42" t="s">
        <v>96</v>
      </c>
      <c r="B101" t="s">
        <v>28</v>
      </c>
      <c r="C101" t="s">
        <v>145</v>
      </c>
      <c r="D101" s="39">
        <v>0.17224932277793994</v>
      </c>
      <c r="E101" s="43">
        <v>17.224932277793993</v>
      </c>
    </row>
    <row r="102" spans="1:5" x14ac:dyDescent="0.25">
      <c r="A102" s="42" t="s">
        <v>96</v>
      </c>
      <c r="B102" t="s">
        <v>29</v>
      </c>
      <c r="C102" t="s">
        <v>145</v>
      </c>
      <c r="D102" s="39">
        <v>4.6838433354217293E-2</v>
      </c>
      <c r="E102" s="43">
        <v>4.683843335421729</v>
      </c>
    </row>
    <row r="103" spans="1:5" x14ac:dyDescent="0.25">
      <c r="A103" s="42" t="s">
        <v>96</v>
      </c>
      <c r="B103" t="s">
        <v>30</v>
      </c>
      <c r="C103" t="s">
        <v>145</v>
      </c>
      <c r="D103" s="39">
        <v>0.78091224386784275</v>
      </c>
      <c r="E103" s="43">
        <v>78.091224386784276</v>
      </c>
    </row>
    <row r="104" spans="1:5" x14ac:dyDescent="0.25">
      <c r="A104" s="42" t="s">
        <v>97</v>
      </c>
      <c r="B104" t="s">
        <v>28</v>
      </c>
      <c r="C104" t="s">
        <v>145</v>
      </c>
      <c r="D104" s="39">
        <v>0.12838958973921294</v>
      </c>
      <c r="E104" s="43">
        <v>12.838958973921294</v>
      </c>
    </row>
    <row r="105" spans="1:5" x14ac:dyDescent="0.25">
      <c r="A105" s="42" t="s">
        <v>97</v>
      </c>
      <c r="B105" t="s">
        <v>29</v>
      </c>
      <c r="C105" t="s">
        <v>145</v>
      </c>
      <c r="D105" s="39">
        <v>0.22162574977144511</v>
      </c>
      <c r="E105" s="43">
        <v>22.162574977144512</v>
      </c>
    </row>
    <row r="106" spans="1:5" x14ac:dyDescent="0.25">
      <c r="A106" s="42" t="s">
        <v>97</v>
      </c>
      <c r="B106" t="s">
        <v>30</v>
      </c>
      <c r="C106" t="s">
        <v>145</v>
      </c>
      <c r="D106" s="39">
        <v>0.649984660489342</v>
      </c>
      <c r="E106" s="43">
        <v>64.998466048934205</v>
      </c>
    </row>
    <row r="107" spans="1:5" x14ac:dyDescent="0.25">
      <c r="A107" s="42" t="s">
        <v>98</v>
      </c>
      <c r="B107" t="s">
        <v>28</v>
      </c>
      <c r="C107" t="s">
        <v>145</v>
      </c>
      <c r="D107" s="39">
        <v>0.24924476156364073</v>
      </c>
      <c r="E107" s="43">
        <v>24.924476156364072</v>
      </c>
    </row>
    <row r="108" spans="1:5" x14ac:dyDescent="0.25">
      <c r="A108" s="42" t="s">
        <v>98</v>
      </c>
      <c r="B108" t="s">
        <v>29</v>
      </c>
      <c r="C108" t="s">
        <v>145</v>
      </c>
      <c r="D108" s="39">
        <v>0.10050194628787426</v>
      </c>
      <c r="E108" s="43">
        <v>10.050194628787427</v>
      </c>
    </row>
    <row r="109" spans="1:5" x14ac:dyDescent="0.25">
      <c r="A109" s="42" t="s">
        <v>98</v>
      </c>
      <c r="B109" t="s">
        <v>30</v>
      </c>
      <c r="C109" t="s">
        <v>145</v>
      </c>
      <c r="D109" s="39">
        <v>0.65025329214848504</v>
      </c>
      <c r="E109" s="43">
        <v>65.025329214848497</v>
      </c>
    </row>
    <row r="110" spans="1:5" x14ac:dyDescent="0.25">
      <c r="A110" s="42" t="s">
        <v>99</v>
      </c>
      <c r="B110" t="s">
        <v>28</v>
      </c>
      <c r="C110" t="s">
        <v>145</v>
      </c>
      <c r="D110" s="39">
        <v>5.3932351761560943E-2</v>
      </c>
      <c r="E110" s="43">
        <v>5.3932351761560939</v>
      </c>
    </row>
    <row r="111" spans="1:5" x14ac:dyDescent="0.25">
      <c r="A111" s="42" t="s">
        <v>99</v>
      </c>
      <c r="B111" t="s">
        <v>29</v>
      </c>
      <c r="C111" t="s">
        <v>145</v>
      </c>
      <c r="D111" s="39">
        <v>4.8554827689042207E-2</v>
      </c>
      <c r="E111" s="43">
        <v>4.8554827689042206</v>
      </c>
    </row>
    <row r="112" spans="1:5" x14ac:dyDescent="0.25">
      <c r="A112" s="42" t="s">
        <v>99</v>
      </c>
      <c r="B112" t="s">
        <v>30</v>
      </c>
      <c r="C112" t="s">
        <v>145</v>
      </c>
      <c r="D112" s="39">
        <v>0.89751282054939685</v>
      </c>
      <c r="E112" s="43">
        <v>89.751282054939679</v>
      </c>
    </row>
    <row r="113" spans="1:5" x14ac:dyDescent="0.25">
      <c r="A113" s="42" t="s">
        <v>100</v>
      </c>
      <c r="B113" t="s">
        <v>28</v>
      </c>
      <c r="C113" t="s">
        <v>145</v>
      </c>
      <c r="D113" s="39">
        <v>0.12673408194089456</v>
      </c>
      <c r="E113" s="43">
        <v>12.673408194089456</v>
      </c>
    </row>
    <row r="114" spans="1:5" x14ac:dyDescent="0.25">
      <c r="A114" s="42" t="s">
        <v>100</v>
      </c>
      <c r="B114" t="s">
        <v>29</v>
      </c>
      <c r="C114" t="s">
        <v>145</v>
      </c>
      <c r="D114" s="39">
        <v>0.16238180173731212</v>
      </c>
      <c r="E114" s="43">
        <v>16.238180173731212</v>
      </c>
    </row>
    <row r="115" spans="1:5" x14ac:dyDescent="0.25">
      <c r="A115" s="42" t="s">
        <v>100</v>
      </c>
      <c r="B115" t="s">
        <v>30</v>
      </c>
      <c r="C115" t="s">
        <v>145</v>
      </c>
      <c r="D115" s="39">
        <v>0.71088411632179338</v>
      </c>
      <c r="E115" s="43">
        <v>71.088411632179344</v>
      </c>
    </row>
    <row r="116" spans="1:5" x14ac:dyDescent="0.25">
      <c r="A116" s="42" t="s">
        <v>101</v>
      </c>
      <c r="B116" t="s">
        <v>28</v>
      </c>
      <c r="C116" t="s">
        <v>145</v>
      </c>
      <c r="D116" s="39">
        <v>0.12842237570956802</v>
      </c>
      <c r="E116" s="43">
        <v>12.842237570956803</v>
      </c>
    </row>
    <row r="117" spans="1:5" x14ac:dyDescent="0.25">
      <c r="A117" s="42" t="s">
        <v>101</v>
      </c>
      <c r="B117" t="s">
        <v>29</v>
      </c>
      <c r="C117" t="s">
        <v>145</v>
      </c>
      <c r="D117" s="39">
        <v>0.10910200427127059</v>
      </c>
      <c r="E117" s="43">
        <v>10.910200427127059</v>
      </c>
    </row>
    <row r="118" spans="1:5" x14ac:dyDescent="0.25">
      <c r="A118" s="42" t="s">
        <v>101</v>
      </c>
      <c r="B118" t="s">
        <v>30</v>
      </c>
      <c r="C118" t="s">
        <v>145</v>
      </c>
      <c r="D118" s="39">
        <v>0.76247562001916136</v>
      </c>
      <c r="E118" s="43">
        <v>76.247562001916137</v>
      </c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1898-57DF-4B2F-ACC6-2740112FCC5B}">
  <sheetPr>
    <pageSetUpPr fitToPage="1"/>
  </sheetPr>
  <dimension ref="A1:P15"/>
  <sheetViews>
    <sheetView topLeftCell="A9" workbookViewId="0">
      <selection activeCell="C6" sqref="C6:P9"/>
    </sheetView>
  </sheetViews>
  <sheetFormatPr defaultRowHeight="15" x14ac:dyDescent="0.25"/>
  <cols>
    <col min="1" max="1" width="3.7109375" customWidth="1"/>
    <col min="2" max="2" width="22.28515625" bestFit="1" customWidth="1"/>
  </cols>
  <sheetData>
    <row r="1" spans="1:16" ht="18.75" x14ac:dyDescent="0.3">
      <c r="B1" s="29" t="s">
        <v>114</v>
      </c>
      <c r="K1" s="28" t="s">
        <v>122</v>
      </c>
    </row>
    <row r="2" spans="1:16" ht="18.75" x14ac:dyDescent="0.3">
      <c r="B2" s="29" t="s">
        <v>131</v>
      </c>
    </row>
    <row r="3" spans="1:16" ht="18.75" x14ac:dyDescent="0.3">
      <c r="B3" s="31" t="s">
        <v>124</v>
      </c>
    </row>
    <row r="4" spans="1:16" ht="18.75" x14ac:dyDescent="0.3">
      <c r="A4" s="31"/>
    </row>
    <row r="5" spans="1:16" x14ac:dyDescent="0.25">
      <c r="B5" s="34"/>
      <c r="C5" s="35" t="s">
        <v>98</v>
      </c>
      <c r="D5" s="35" t="s">
        <v>97</v>
      </c>
      <c r="E5" s="35" t="s">
        <v>95</v>
      </c>
      <c r="F5" s="35" t="s">
        <v>100</v>
      </c>
      <c r="G5" s="35" t="s">
        <v>101</v>
      </c>
      <c r="H5" s="35" t="s">
        <v>93</v>
      </c>
      <c r="I5" s="35" t="s">
        <v>92</v>
      </c>
      <c r="J5" s="35" t="s">
        <v>96</v>
      </c>
      <c r="K5" s="35" t="s">
        <v>91</v>
      </c>
      <c r="L5" s="35" t="s">
        <v>99</v>
      </c>
      <c r="M5" s="35" t="s">
        <v>94</v>
      </c>
      <c r="N5" s="35" t="s">
        <v>89</v>
      </c>
      <c r="O5" s="35" t="s">
        <v>90</v>
      </c>
      <c r="P5" s="35" t="s">
        <v>102</v>
      </c>
    </row>
    <row r="6" spans="1:16" x14ac:dyDescent="0.25">
      <c r="B6" s="34" t="s">
        <v>28</v>
      </c>
      <c r="C6" s="36">
        <f>NIC!Q39</f>
        <v>0.12637341652421918</v>
      </c>
      <c r="D6" s="36">
        <f>HND!Q39</f>
        <v>9.7729895358786692E-2</v>
      </c>
      <c r="E6" s="36">
        <f>ECU!Q37</f>
        <v>5.5401286452657836E-2</v>
      </c>
      <c r="F6" s="36">
        <f>PER!Q36</f>
        <v>5.1940489521676535E-2</v>
      </c>
      <c r="G6" s="36">
        <f>SLV!Q39</f>
        <v>3.2207386395163184E-2</v>
      </c>
      <c r="H6" s="36">
        <f>CRI!S37</f>
        <v>2.9890205964842619E-2</v>
      </c>
      <c r="I6" s="36">
        <f>COL!Q39</f>
        <v>2.7989129136874482E-2</v>
      </c>
      <c r="J6" s="36">
        <f>GTM!Q37</f>
        <v>2.5857605962803204E-2</v>
      </c>
      <c r="K6" s="36">
        <f>CHL!Q33</f>
        <v>1.0715533744601014E-2</v>
      </c>
      <c r="L6" s="36">
        <f>PAN!Q39</f>
        <v>1.0679440401366438E-2</v>
      </c>
      <c r="M6" s="36">
        <f>DOM!Q40</f>
        <v>1.0295670791325656E-2</v>
      </c>
      <c r="N6" s="36">
        <v>0</v>
      </c>
      <c r="O6" s="36">
        <v>0</v>
      </c>
      <c r="P6" s="36">
        <f>AVERAGE(C6:O6)</f>
        <v>3.6852312327255138E-2</v>
      </c>
    </row>
    <row r="7" spans="1:16" x14ac:dyDescent="0.25">
      <c r="B7" s="34" t="s">
        <v>29</v>
      </c>
      <c r="C7" s="36">
        <f>NIC!Q40</f>
        <v>-2.8722887605344194E-2</v>
      </c>
      <c r="D7" s="36">
        <f>HND!Q40</f>
        <v>3.6864505459712225E-2</v>
      </c>
      <c r="E7" s="36">
        <f>ECU!Q38</f>
        <v>0.25979501246992009</v>
      </c>
      <c r="F7" s="36">
        <f>PER!Q37</f>
        <v>1.9158534634458487E-2</v>
      </c>
      <c r="G7" s="36">
        <f>SLV!Q40</f>
        <v>-6.6188098553742597E-4</v>
      </c>
      <c r="H7" s="36">
        <f>CRI!S38</f>
        <v>1.3072575144117448E-2</v>
      </c>
      <c r="I7" s="36">
        <f>COL!Q40</f>
        <v>1.615345302745896E-2</v>
      </c>
      <c r="J7" s="36">
        <f>GTM!Q38</f>
        <v>4.4658720843122595E-3</v>
      </c>
      <c r="K7" s="36">
        <f>CHL!Q34</f>
        <v>3.0900191503197269E-2</v>
      </c>
      <c r="L7" s="36">
        <f>PAN!Q40</f>
        <v>2.7227123181102538E-2</v>
      </c>
      <c r="M7" s="36">
        <f>DOM!Q41</f>
        <v>2.019867296820159E-3</v>
      </c>
      <c r="N7" s="36">
        <v>0</v>
      </c>
      <c r="O7" s="36">
        <v>0</v>
      </c>
      <c r="P7" s="36">
        <f t="shared" ref="P7:P8" si="0">AVERAGE(C7:O7)</f>
        <v>2.9251720477709062E-2</v>
      </c>
    </row>
    <row r="8" spans="1:16" x14ac:dyDescent="0.25">
      <c r="B8" s="34" t="s">
        <v>30</v>
      </c>
      <c r="C8" s="36">
        <f>NIC!Q41</f>
        <v>0.90234947108112507</v>
      </c>
      <c r="D8" s="36">
        <f>HND!Q41</f>
        <v>0.86540559918150117</v>
      </c>
      <c r="E8" s="36">
        <f>ECU!Q39</f>
        <v>0.68480370107742206</v>
      </c>
      <c r="F8" s="36">
        <f>PER!Q38</f>
        <v>0.928900975843865</v>
      </c>
      <c r="G8" s="36">
        <f>SLV!Q41</f>
        <v>0.96845449459037436</v>
      </c>
      <c r="H8" s="36">
        <f>CRI!S39</f>
        <v>0.95703721889103988</v>
      </c>
      <c r="I8" s="36">
        <f>COL!Q41</f>
        <v>0.95585741783566658</v>
      </c>
      <c r="J8" s="36">
        <f>GTM!Q39</f>
        <v>0.96967652195288445</v>
      </c>
      <c r="K8" s="36">
        <f>CHL!Q35</f>
        <v>0.95838427475220167</v>
      </c>
      <c r="L8" s="36">
        <f>PAN!Q41</f>
        <v>0.96209343641753098</v>
      </c>
      <c r="M8" s="36">
        <f>DOM!Q42</f>
        <v>0.98768446191185433</v>
      </c>
      <c r="N8" s="36">
        <v>1</v>
      </c>
      <c r="O8" s="36">
        <v>1</v>
      </c>
      <c r="P8" s="36">
        <f t="shared" si="0"/>
        <v>0.93389596719503587</v>
      </c>
    </row>
    <row r="9" spans="1:16" x14ac:dyDescent="0.25">
      <c r="B9" s="34"/>
      <c r="C9" s="36">
        <f>SUM(C6:C8)</f>
        <v>1</v>
      </c>
      <c r="D9" s="36">
        <f t="shared" ref="D9:P9" si="1">SUM(D6:D8)</f>
        <v>1</v>
      </c>
      <c r="E9" s="36">
        <f t="shared" si="1"/>
        <v>1</v>
      </c>
      <c r="F9" s="36">
        <f t="shared" si="1"/>
        <v>1</v>
      </c>
      <c r="G9" s="36">
        <f t="shared" si="1"/>
        <v>1.0000000000000002</v>
      </c>
      <c r="H9" s="36">
        <f t="shared" si="1"/>
        <v>1</v>
      </c>
      <c r="I9" s="36">
        <f t="shared" si="1"/>
        <v>1</v>
      </c>
      <c r="J9" s="36">
        <f t="shared" si="1"/>
        <v>0.99999999999999989</v>
      </c>
      <c r="K9" s="36">
        <f t="shared" si="1"/>
        <v>1</v>
      </c>
      <c r="L9" s="36">
        <f t="shared" si="1"/>
        <v>1</v>
      </c>
      <c r="M9" s="36">
        <f t="shared" si="1"/>
        <v>1.0000000000000002</v>
      </c>
      <c r="N9" s="36">
        <f t="shared" si="1"/>
        <v>1</v>
      </c>
      <c r="O9" s="36">
        <f t="shared" si="1"/>
        <v>1</v>
      </c>
      <c r="P9" s="36">
        <f t="shared" si="1"/>
        <v>1</v>
      </c>
    </row>
    <row r="11" spans="1:16" x14ac:dyDescent="0.25">
      <c r="B11" s="34"/>
      <c r="C11" s="35" t="s">
        <v>98</v>
      </c>
      <c r="D11" s="35" t="s">
        <v>97</v>
      </c>
      <c r="E11" s="35" t="s">
        <v>95</v>
      </c>
      <c r="F11" s="35" t="s">
        <v>100</v>
      </c>
      <c r="G11" s="35" t="s">
        <v>101</v>
      </c>
      <c r="H11" s="35" t="s">
        <v>93</v>
      </c>
      <c r="I11" s="35" t="s">
        <v>92</v>
      </c>
      <c r="J11" s="35" t="s">
        <v>96</v>
      </c>
      <c r="K11" s="35" t="s">
        <v>91</v>
      </c>
      <c r="L11" s="35" t="s">
        <v>99</v>
      </c>
      <c r="M11" s="35" t="s">
        <v>94</v>
      </c>
      <c r="N11" s="35" t="s">
        <v>89</v>
      </c>
      <c r="O11" s="35" t="s">
        <v>90</v>
      </c>
      <c r="P11" s="35" t="s">
        <v>102</v>
      </c>
    </row>
    <row r="12" spans="1:16" x14ac:dyDescent="0.25">
      <c r="B12" s="34" t="s">
        <v>28</v>
      </c>
      <c r="C12" s="37">
        <f>+C6*100</f>
        <v>12.637341652421918</v>
      </c>
      <c r="D12" s="37">
        <f t="shared" ref="D12:P12" si="2">+D6*100</f>
        <v>9.7729895358786685</v>
      </c>
      <c r="E12" s="37">
        <f t="shared" si="2"/>
        <v>5.5401286452657832</v>
      </c>
      <c r="F12" s="37">
        <f t="shared" si="2"/>
        <v>5.1940489521676536</v>
      </c>
      <c r="G12" s="37">
        <f t="shared" si="2"/>
        <v>3.2207386395163184</v>
      </c>
      <c r="H12" s="37">
        <f t="shared" si="2"/>
        <v>2.989020596484262</v>
      </c>
      <c r="I12" s="37">
        <f t="shared" si="2"/>
        <v>2.798912913687448</v>
      </c>
      <c r="J12" s="37">
        <f t="shared" si="2"/>
        <v>2.5857605962803203</v>
      </c>
      <c r="K12" s="37">
        <f t="shared" si="2"/>
        <v>1.0715533744601013</v>
      </c>
      <c r="L12" s="37">
        <f t="shared" si="2"/>
        <v>1.0679440401366438</v>
      </c>
      <c r="M12" s="37">
        <f t="shared" si="2"/>
        <v>1.0295670791325655</v>
      </c>
      <c r="N12" s="37">
        <f t="shared" si="2"/>
        <v>0</v>
      </c>
      <c r="O12" s="37">
        <f t="shared" si="2"/>
        <v>0</v>
      </c>
      <c r="P12" s="37">
        <f t="shared" si="2"/>
        <v>3.6852312327255139</v>
      </c>
    </row>
    <row r="13" spans="1:16" x14ac:dyDescent="0.25">
      <c r="B13" s="34" t="s">
        <v>29</v>
      </c>
      <c r="C13" s="37">
        <f t="shared" ref="C13:P13" si="3">+C7*100</f>
        <v>-2.8722887605344196</v>
      </c>
      <c r="D13" s="37">
        <f t="shared" si="3"/>
        <v>3.6864505459712227</v>
      </c>
      <c r="E13" s="37">
        <f t="shared" si="3"/>
        <v>25.979501246992008</v>
      </c>
      <c r="F13" s="37">
        <f t="shared" si="3"/>
        <v>1.9158534634458486</v>
      </c>
      <c r="G13" s="37">
        <f t="shared" si="3"/>
        <v>-6.6188098553742594E-2</v>
      </c>
      <c r="H13" s="37">
        <f t="shared" si="3"/>
        <v>1.3072575144117449</v>
      </c>
      <c r="I13" s="37">
        <f t="shared" si="3"/>
        <v>1.6153453027458959</v>
      </c>
      <c r="J13" s="37">
        <f t="shared" si="3"/>
        <v>0.44658720843122596</v>
      </c>
      <c r="K13" s="37">
        <f t="shared" si="3"/>
        <v>3.0900191503197267</v>
      </c>
      <c r="L13" s="37">
        <f t="shared" si="3"/>
        <v>2.7227123181102537</v>
      </c>
      <c r="M13" s="37">
        <f t="shared" si="3"/>
        <v>0.20198672968201589</v>
      </c>
      <c r="N13" s="37">
        <f t="shared" si="3"/>
        <v>0</v>
      </c>
      <c r="O13" s="37">
        <f t="shared" si="3"/>
        <v>0</v>
      </c>
      <c r="P13" s="37">
        <f t="shared" si="3"/>
        <v>2.9251720477709062</v>
      </c>
    </row>
    <row r="14" spans="1:16" x14ac:dyDescent="0.25">
      <c r="B14" s="34" t="s">
        <v>30</v>
      </c>
      <c r="C14" s="37">
        <f t="shared" ref="C14:P14" si="4">+C8*100</f>
        <v>90.234947108112507</v>
      </c>
      <c r="D14" s="37">
        <f t="shared" si="4"/>
        <v>86.540559918150123</v>
      </c>
      <c r="E14" s="37">
        <f t="shared" si="4"/>
        <v>68.480370107742203</v>
      </c>
      <c r="F14" s="37">
        <f t="shared" si="4"/>
        <v>92.890097584386496</v>
      </c>
      <c r="G14" s="37">
        <f t="shared" si="4"/>
        <v>96.84544945903744</v>
      </c>
      <c r="H14" s="37">
        <f t="shared" si="4"/>
        <v>95.703721889103988</v>
      </c>
      <c r="I14" s="37">
        <f t="shared" si="4"/>
        <v>95.585741783566661</v>
      </c>
      <c r="J14" s="37">
        <f t="shared" si="4"/>
        <v>96.967652195288451</v>
      </c>
      <c r="K14" s="37">
        <f t="shared" si="4"/>
        <v>95.838427475220172</v>
      </c>
      <c r="L14" s="37">
        <f t="shared" si="4"/>
        <v>96.209343641753094</v>
      </c>
      <c r="M14" s="37">
        <f t="shared" si="4"/>
        <v>98.768446191185433</v>
      </c>
      <c r="N14" s="37">
        <f t="shared" si="4"/>
        <v>100</v>
      </c>
      <c r="O14" s="37">
        <f t="shared" si="4"/>
        <v>100</v>
      </c>
      <c r="P14" s="37">
        <f t="shared" si="4"/>
        <v>93.389596719503587</v>
      </c>
    </row>
    <row r="15" spans="1:16" x14ac:dyDescent="0.25">
      <c r="B15" s="34"/>
      <c r="C15" s="37">
        <f t="shared" ref="C15:P15" si="5">+C9*100</f>
        <v>100</v>
      </c>
      <c r="D15" s="37">
        <f t="shared" si="5"/>
        <v>100</v>
      </c>
      <c r="E15" s="37">
        <f t="shared" si="5"/>
        <v>100</v>
      </c>
      <c r="F15" s="37">
        <f t="shared" si="5"/>
        <v>100</v>
      </c>
      <c r="G15" s="37">
        <f t="shared" si="5"/>
        <v>100.00000000000003</v>
      </c>
      <c r="H15" s="37">
        <f t="shared" si="5"/>
        <v>100</v>
      </c>
      <c r="I15" s="37">
        <f t="shared" si="5"/>
        <v>100</v>
      </c>
      <c r="J15" s="37">
        <f t="shared" si="5"/>
        <v>99.999999999999986</v>
      </c>
      <c r="K15" s="37">
        <f t="shared" si="5"/>
        <v>100</v>
      </c>
      <c r="L15" s="37">
        <f t="shared" si="5"/>
        <v>100</v>
      </c>
      <c r="M15" s="37">
        <f t="shared" si="5"/>
        <v>100.00000000000003</v>
      </c>
      <c r="N15" s="37">
        <f t="shared" si="5"/>
        <v>100</v>
      </c>
      <c r="O15" s="37">
        <f t="shared" si="5"/>
        <v>100</v>
      </c>
      <c r="P15" s="37">
        <f t="shared" si="5"/>
        <v>100</v>
      </c>
    </row>
  </sheetData>
  <sortState xmlns:xlrd2="http://schemas.microsoft.com/office/spreadsheetml/2017/richdata2" columnSort="1" ref="C5:O8">
    <sortCondition descending="1" ref="C6:O6"/>
  </sortState>
  <hyperlinks>
    <hyperlink ref="K1" location="Contenido!A1" display="Contenido" xr:uid="{39DB22BD-FBB5-4562-BFB0-7BA604D53E61}"/>
  </hyperlinks>
  <pageMargins left="0.7" right="0.7" top="0.75" bottom="0.75" header="0.3" footer="0.3"/>
  <pageSetup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Contenido</vt:lpstr>
      <vt:lpstr>ARG</vt:lpstr>
      <vt:lpstr>BRA</vt:lpstr>
      <vt:lpstr>CHL</vt:lpstr>
      <vt:lpstr>COL</vt:lpstr>
      <vt:lpstr>CRI</vt:lpstr>
      <vt:lpstr>DOM</vt:lpstr>
      <vt:lpstr>ECU</vt:lpstr>
      <vt:lpstr>GTM</vt:lpstr>
      <vt:lpstr>HND</vt:lpstr>
      <vt:lpstr>NIC</vt:lpstr>
      <vt:lpstr>PAN</vt:lpstr>
      <vt:lpstr>PER</vt:lpstr>
      <vt:lpstr>SLV</vt:lpstr>
      <vt:lpstr>Figura 3a</vt:lpstr>
      <vt:lpstr>Figura 3b</vt:lpstr>
      <vt:lpstr>Figura 3c</vt:lpstr>
      <vt:lpstr>Figura 4</vt:lpstr>
      <vt:lpstr>Figura 5a</vt:lpstr>
      <vt:lpstr>Figura 5b</vt:lpstr>
      <vt:lpstr>Figura 5c</vt:lpstr>
      <vt:lpstr>Figura 6 y 7</vt:lpstr>
      <vt:lpstr>FBK</vt:lpstr>
      <vt:lpstr>ARG!Print_Area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Vargas</dc:creator>
  <cp:lastModifiedBy>Renato Vargas</cp:lastModifiedBy>
  <cp:lastPrinted>2023-03-02T17:33:12Z</cp:lastPrinted>
  <dcterms:created xsi:type="dcterms:W3CDTF">2023-02-24T05:50:03Z</dcterms:created>
  <dcterms:modified xsi:type="dcterms:W3CDTF">2023-07-12T17:17:29Z</dcterms:modified>
</cp:coreProperties>
</file>